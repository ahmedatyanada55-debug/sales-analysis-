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مشاريعي\"/>
    </mc:Choice>
  </mc:AlternateContent>
  <xr:revisionPtr revIDLastSave="0" documentId="13_ncr:1_{0C940105-C2AD-4A80-A0D0-F03EB7301C21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📋 Raw Data" sheetId="1" r:id="rId1"/>
    <sheet name="📊 Dashboard" sheetId="2" r:id="rId2"/>
    <sheet name="📈 الرسوم البيانية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5" i="3" l="1"/>
  <c r="B34" i="3"/>
  <c r="C26" i="3"/>
  <c r="B26" i="3"/>
  <c r="C25" i="3"/>
  <c r="C24" i="3"/>
  <c r="B24" i="3"/>
  <c r="C23" i="3"/>
  <c r="C22" i="3"/>
  <c r="B22" i="3"/>
  <c r="B16" i="3"/>
  <c r="B14" i="3"/>
  <c r="B12" i="3"/>
  <c r="B10" i="3"/>
  <c r="B8" i="3"/>
  <c r="B6" i="3"/>
  <c r="C29" i="2"/>
  <c r="C28" i="2"/>
  <c r="B28" i="2"/>
  <c r="C27" i="2"/>
  <c r="C26" i="2"/>
  <c r="B26" i="2"/>
  <c r="C25" i="2"/>
  <c r="B22" i="2"/>
  <c r="B20" i="2"/>
  <c r="B18" i="2"/>
  <c r="B16" i="2"/>
  <c r="K15" i="2"/>
  <c r="G15" i="2"/>
  <c r="F15" i="2"/>
  <c r="K14" i="2"/>
  <c r="J14" i="2"/>
  <c r="G14" i="2"/>
  <c r="B14" i="2"/>
  <c r="K13" i="2"/>
  <c r="G13" i="2"/>
  <c r="F13" i="2"/>
  <c r="K12" i="2"/>
  <c r="J12" i="2"/>
  <c r="G12" i="2"/>
  <c r="B12" i="2"/>
  <c r="K11" i="2"/>
  <c r="G11" i="2"/>
  <c r="F11" i="2"/>
  <c r="D6" i="2"/>
  <c r="J217" i="1"/>
  <c r="K217" i="1" s="1"/>
  <c r="I217" i="1"/>
  <c r="H217" i="1"/>
  <c r="I216" i="1"/>
  <c r="J216" i="1" s="1"/>
  <c r="K216" i="1" s="1"/>
  <c r="H216" i="1"/>
  <c r="J215" i="1"/>
  <c r="K215" i="1" s="1"/>
  <c r="I215" i="1"/>
  <c r="H215" i="1"/>
  <c r="I214" i="1"/>
  <c r="J214" i="1" s="1"/>
  <c r="K214" i="1" s="1"/>
  <c r="H214" i="1"/>
  <c r="J213" i="1"/>
  <c r="K213" i="1" s="1"/>
  <c r="I213" i="1"/>
  <c r="H213" i="1"/>
  <c r="I212" i="1"/>
  <c r="J212" i="1" s="1"/>
  <c r="K212" i="1" s="1"/>
  <c r="H212" i="1"/>
  <c r="J211" i="1"/>
  <c r="K211" i="1" s="1"/>
  <c r="I211" i="1"/>
  <c r="H211" i="1"/>
  <c r="I210" i="1"/>
  <c r="J210" i="1" s="1"/>
  <c r="K210" i="1" s="1"/>
  <c r="H210" i="1"/>
  <c r="J209" i="1"/>
  <c r="K209" i="1" s="1"/>
  <c r="I209" i="1"/>
  <c r="H209" i="1"/>
  <c r="I208" i="1"/>
  <c r="J208" i="1" s="1"/>
  <c r="K208" i="1" s="1"/>
  <c r="H208" i="1"/>
  <c r="J207" i="1"/>
  <c r="K207" i="1" s="1"/>
  <c r="I207" i="1"/>
  <c r="H207" i="1"/>
  <c r="I206" i="1"/>
  <c r="J206" i="1" s="1"/>
  <c r="K206" i="1" s="1"/>
  <c r="H206" i="1"/>
  <c r="J205" i="1"/>
  <c r="K205" i="1" s="1"/>
  <c r="I205" i="1"/>
  <c r="H205" i="1"/>
  <c r="I204" i="1"/>
  <c r="J204" i="1" s="1"/>
  <c r="K204" i="1" s="1"/>
  <c r="H204" i="1"/>
  <c r="J203" i="1"/>
  <c r="K203" i="1" s="1"/>
  <c r="I203" i="1"/>
  <c r="H203" i="1"/>
  <c r="I202" i="1"/>
  <c r="J202" i="1" s="1"/>
  <c r="K202" i="1" s="1"/>
  <c r="H202" i="1"/>
  <c r="J201" i="1"/>
  <c r="K201" i="1" s="1"/>
  <c r="I201" i="1"/>
  <c r="H201" i="1"/>
  <c r="I200" i="1"/>
  <c r="J200" i="1" s="1"/>
  <c r="K200" i="1" s="1"/>
  <c r="H200" i="1"/>
  <c r="J199" i="1"/>
  <c r="K199" i="1" s="1"/>
  <c r="I199" i="1"/>
  <c r="H199" i="1"/>
  <c r="I198" i="1"/>
  <c r="J198" i="1" s="1"/>
  <c r="K198" i="1" s="1"/>
  <c r="H198" i="1"/>
  <c r="J197" i="1"/>
  <c r="K197" i="1" s="1"/>
  <c r="I197" i="1"/>
  <c r="H197" i="1"/>
  <c r="I196" i="1"/>
  <c r="J196" i="1" s="1"/>
  <c r="K196" i="1" s="1"/>
  <c r="H196" i="1"/>
  <c r="J195" i="1"/>
  <c r="K195" i="1" s="1"/>
  <c r="I195" i="1"/>
  <c r="H195" i="1"/>
  <c r="I194" i="1"/>
  <c r="J194" i="1" s="1"/>
  <c r="K194" i="1" s="1"/>
  <c r="H194" i="1"/>
  <c r="J193" i="1"/>
  <c r="K193" i="1" s="1"/>
  <c r="I193" i="1"/>
  <c r="H193" i="1"/>
  <c r="I192" i="1"/>
  <c r="J192" i="1" s="1"/>
  <c r="K192" i="1" s="1"/>
  <c r="H192" i="1"/>
  <c r="J191" i="1"/>
  <c r="K191" i="1" s="1"/>
  <c r="I191" i="1"/>
  <c r="H191" i="1"/>
  <c r="I190" i="1"/>
  <c r="J190" i="1" s="1"/>
  <c r="K190" i="1" s="1"/>
  <c r="H190" i="1"/>
  <c r="J189" i="1"/>
  <c r="K189" i="1" s="1"/>
  <c r="I189" i="1"/>
  <c r="H189" i="1"/>
  <c r="I188" i="1"/>
  <c r="J188" i="1" s="1"/>
  <c r="K188" i="1" s="1"/>
  <c r="H188" i="1"/>
  <c r="J187" i="1"/>
  <c r="K187" i="1" s="1"/>
  <c r="I187" i="1"/>
  <c r="H187" i="1"/>
  <c r="I186" i="1"/>
  <c r="J186" i="1" s="1"/>
  <c r="K186" i="1" s="1"/>
  <c r="H186" i="1"/>
  <c r="J185" i="1"/>
  <c r="K185" i="1" s="1"/>
  <c r="I185" i="1"/>
  <c r="H185" i="1"/>
  <c r="I184" i="1"/>
  <c r="J184" i="1" s="1"/>
  <c r="K184" i="1" s="1"/>
  <c r="H184" i="1"/>
  <c r="J183" i="1"/>
  <c r="K183" i="1" s="1"/>
  <c r="I183" i="1"/>
  <c r="H183" i="1"/>
  <c r="I182" i="1"/>
  <c r="J182" i="1" s="1"/>
  <c r="K182" i="1" s="1"/>
  <c r="H182" i="1"/>
  <c r="J181" i="1"/>
  <c r="K181" i="1" s="1"/>
  <c r="I181" i="1"/>
  <c r="H181" i="1"/>
  <c r="I180" i="1"/>
  <c r="J180" i="1" s="1"/>
  <c r="K180" i="1" s="1"/>
  <c r="H180" i="1"/>
  <c r="J179" i="1"/>
  <c r="K179" i="1" s="1"/>
  <c r="I179" i="1"/>
  <c r="H179" i="1"/>
  <c r="I178" i="1"/>
  <c r="J178" i="1" s="1"/>
  <c r="K178" i="1" s="1"/>
  <c r="H178" i="1"/>
  <c r="J177" i="1"/>
  <c r="K177" i="1" s="1"/>
  <c r="I177" i="1"/>
  <c r="H177" i="1"/>
  <c r="I176" i="1"/>
  <c r="J176" i="1" s="1"/>
  <c r="K176" i="1" s="1"/>
  <c r="H176" i="1"/>
  <c r="J175" i="1"/>
  <c r="K175" i="1" s="1"/>
  <c r="I175" i="1"/>
  <c r="H175" i="1"/>
  <c r="I174" i="1"/>
  <c r="J174" i="1" s="1"/>
  <c r="K174" i="1" s="1"/>
  <c r="H174" i="1"/>
  <c r="J173" i="1"/>
  <c r="K173" i="1" s="1"/>
  <c r="I173" i="1"/>
  <c r="H173" i="1"/>
  <c r="I172" i="1"/>
  <c r="J172" i="1" s="1"/>
  <c r="K172" i="1" s="1"/>
  <c r="H172" i="1"/>
  <c r="J171" i="1"/>
  <c r="K171" i="1" s="1"/>
  <c r="I171" i="1"/>
  <c r="H171" i="1"/>
  <c r="I170" i="1"/>
  <c r="J170" i="1" s="1"/>
  <c r="K170" i="1" s="1"/>
  <c r="H170" i="1"/>
  <c r="J169" i="1"/>
  <c r="K169" i="1" s="1"/>
  <c r="I169" i="1"/>
  <c r="H169" i="1"/>
  <c r="I168" i="1"/>
  <c r="J168" i="1" s="1"/>
  <c r="K168" i="1" s="1"/>
  <c r="H168" i="1"/>
  <c r="J167" i="1"/>
  <c r="K167" i="1" s="1"/>
  <c r="I167" i="1"/>
  <c r="H167" i="1"/>
  <c r="I166" i="1"/>
  <c r="J166" i="1" s="1"/>
  <c r="K166" i="1" s="1"/>
  <c r="H166" i="1"/>
  <c r="I165" i="1"/>
  <c r="J165" i="1" s="1"/>
  <c r="K165" i="1" s="1"/>
  <c r="H165" i="1"/>
  <c r="K164" i="1"/>
  <c r="I164" i="1"/>
  <c r="J164" i="1" s="1"/>
  <c r="H164" i="1"/>
  <c r="I163" i="1"/>
  <c r="J163" i="1" s="1"/>
  <c r="K163" i="1" s="1"/>
  <c r="H163" i="1"/>
  <c r="K162" i="1"/>
  <c r="I162" i="1"/>
  <c r="J162" i="1" s="1"/>
  <c r="H162" i="1"/>
  <c r="I161" i="1"/>
  <c r="J161" i="1" s="1"/>
  <c r="K161" i="1" s="1"/>
  <c r="H161" i="1"/>
  <c r="K160" i="1"/>
  <c r="I160" i="1"/>
  <c r="J160" i="1" s="1"/>
  <c r="H160" i="1"/>
  <c r="I159" i="1"/>
  <c r="J159" i="1" s="1"/>
  <c r="K159" i="1" s="1"/>
  <c r="H159" i="1"/>
  <c r="K158" i="1"/>
  <c r="I158" i="1"/>
  <c r="J158" i="1" s="1"/>
  <c r="H158" i="1"/>
  <c r="I157" i="1"/>
  <c r="J157" i="1" s="1"/>
  <c r="K157" i="1" s="1"/>
  <c r="H157" i="1"/>
  <c r="K156" i="1"/>
  <c r="I156" i="1"/>
  <c r="J156" i="1" s="1"/>
  <c r="H156" i="1"/>
  <c r="I155" i="1"/>
  <c r="J155" i="1" s="1"/>
  <c r="K155" i="1" s="1"/>
  <c r="H155" i="1"/>
  <c r="K154" i="1"/>
  <c r="I154" i="1"/>
  <c r="J154" i="1" s="1"/>
  <c r="H154" i="1"/>
  <c r="I153" i="1"/>
  <c r="J153" i="1" s="1"/>
  <c r="K153" i="1" s="1"/>
  <c r="H153" i="1"/>
  <c r="K152" i="1"/>
  <c r="I152" i="1"/>
  <c r="J152" i="1" s="1"/>
  <c r="H152" i="1"/>
  <c r="I151" i="1"/>
  <c r="J151" i="1" s="1"/>
  <c r="K151" i="1" s="1"/>
  <c r="H151" i="1"/>
  <c r="K150" i="1"/>
  <c r="I150" i="1"/>
  <c r="J150" i="1" s="1"/>
  <c r="H150" i="1"/>
  <c r="I149" i="1"/>
  <c r="J149" i="1" s="1"/>
  <c r="K149" i="1" s="1"/>
  <c r="H149" i="1"/>
  <c r="K148" i="1"/>
  <c r="I148" i="1"/>
  <c r="J148" i="1" s="1"/>
  <c r="H148" i="1"/>
  <c r="I147" i="1"/>
  <c r="J147" i="1" s="1"/>
  <c r="K147" i="1" s="1"/>
  <c r="H147" i="1"/>
  <c r="K146" i="1"/>
  <c r="I146" i="1"/>
  <c r="J146" i="1" s="1"/>
  <c r="H146" i="1"/>
  <c r="I145" i="1"/>
  <c r="J145" i="1" s="1"/>
  <c r="K145" i="1" s="1"/>
  <c r="H145" i="1"/>
  <c r="K144" i="1"/>
  <c r="I144" i="1"/>
  <c r="J144" i="1" s="1"/>
  <c r="H144" i="1"/>
  <c r="I143" i="1"/>
  <c r="J143" i="1" s="1"/>
  <c r="K143" i="1" s="1"/>
  <c r="H143" i="1"/>
  <c r="K142" i="1"/>
  <c r="I142" i="1"/>
  <c r="J142" i="1" s="1"/>
  <c r="H142" i="1"/>
  <c r="I141" i="1"/>
  <c r="J141" i="1" s="1"/>
  <c r="K141" i="1" s="1"/>
  <c r="H141" i="1"/>
  <c r="K140" i="1"/>
  <c r="I140" i="1"/>
  <c r="J140" i="1" s="1"/>
  <c r="H140" i="1"/>
  <c r="I139" i="1"/>
  <c r="J139" i="1" s="1"/>
  <c r="K139" i="1" s="1"/>
  <c r="H139" i="1"/>
  <c r="K138" i="1"/>
  <c r="I138" i="1"/>
  <c r="J138" i="1" s="1"/>
  <c r="H138" i="1"/>
  <c r="I137" i="1"/>
  <c r="J137" i="1" s="1"/>
  <c r="K137" i="1" s="1"/>
  <c r="H137" i="1"/>
  <c r="K136" i="1"/>
  <c r="I136" i="1"/>
  <c r="J136" i="1" s="1"/>
  <c r="H136" i="1"/>
  <c r="I135" i="1"/>
  <c r="J135" i="1" s="1"/>
  <c r="K135" i="1" s="1"/>
  <c r="H135" i="1"/>
  <c r="K134" i="1"/>
  <c r="I134" i="1"/>
  <c r="J134" i="1" s="1"/>
  <c r="H134" i="1"/>
  <c r="I133" i="1"/>
  <c r="J133" i="1" s="1"/>
  <c r="K133" i="1" s="1"/>
  <c r="H133" i="1"/>
  <c r="K132" i="1"/>
  <c r="I132" i="1"/>
  <c r="J132" i="1" s="1"/>
  <c r="H132" i="1"/>
  <c r="I131" i="1"/>
  <c r="J131" i="1" s="1"/>
  <c r="K131" i="1" s="1"/>
  <c r="H131" i="1"/>
  <c r="K130" i="1"/>
  <c r="I130" i="1"/>
  <c r="J130" i="1" s="1"/>
  <c r="H130" i="1"/>
  <c r="I129" i="1"/>
  <c r="J129" i="1" s="1"/>
  <c r="K129" i="1" s="1"/>
  <c r="H129" i="1"/>
  <c r="K128" i="1"/>
  <c r="I128" i="1"/>
  <c r="J128" i="1" s="1"/>
  <c r="H128" i="1"/>
  <c r="I127" i="1"/>
  <c r="J127" i="1" s="1"/>
  <c r="K127" i="1" s="1"/>
  <c r="H127" i="1"/>
  <c r="K126" i="1"/>
  <c r="I126" i="1"/>
  <c r="J126" i="1" s="1"/>
  <c r="H126" i="1"/>
  <c r="I125" i="1"/>
  <c r="J125" i="1" s="1"/>
  <c r="K125" i="1" s="1"/>
  <c r="H125" i="1"/>
  <c r="K124" i="1"/>
  <c r="I124" i="1"/>
  <c r="J124" i="1" s="1"/>
  <c r="H124" i="1"/>
  <c r="I123" i="1"/>
  <c r="J123" i="1" s="1"/>
  <c r="K123" i="1" s="1"/>
  <c r="H123" i="1"/>
  <c r="K122" i="1"/>
  <c r="I122" i="1"/>
  <c r="J122" i="1" s="1"/>
  <c r="H122" i="1"/>
  <c r="I121" i="1"/>
  <c r="J121" i="1" s="1"/>
  <c r="K121" i="1" s="1"/>
  <c r="H121" i="1"/>
  <c r="K120" i="1"/>
  <c r="I120" i="1"/>
  <c r="J120" i="1" s="1"/>
  <c r="H120" i="1"/>
  <c r="I119" i="1"/>
  <c r="J119" i="1" s="1"/>
  <c r="K119" i="1" s="1"/>
  <c r="H119" i="1"/>
  <c r="K118" i="1"/>
  <c r="I118" i="1"/>
  <c r="J118" i="1" s="1"/>
  <c r="H118" i="1"/>
  <c r="I117" i="1"/>
  <c r="J117" i="1" s="1"/>
  <c r="K117" i="1" s="1"/>
  <c r="H117" i="1"/>
  <c r="K116" i="1"/>
  <c r="I116" i="1"/>
  <c r="J116" i="1" s="1"/>
  <c r="H116" i="1"/>
  <c r="I115" i="1"/>
  <c r="J115" i="1" s="1"/>
  <c r="K115" i="1" s="1"/>
  <c r="H115" i="1"/>
  <c r="K114" i="1"/>
  <c r="I114" i="1"/>
  <c r="J114" i="1" s="1"/>
  <c r="H114" i="1"/>
  <c r="I113" i="1"/>
  <c r="J113" i="1" s="1"/>
  <c r="K113" i="1" s="1"/>
  <c r="H113" i="1"/>
  <c r="K112" i="1"/>
  <c r="I112" i="1"/>
  <c r="J112" i="1" s="1"/>
  <c r="H112" i="1"/>
  <c r="I111" i="1"/>
  <c r="J111" i="1" s="1"/>
  <c r="K111" i="1" s="1"/>
  <c r="H111" i="1"/>
  <c r="K110" i="1"/>
  <c r="I110" i="1"/>
  <c r="J110" i="1" s="1"/>
  <c r="H110" i="1"/>
  <c r="I109" i="1"/>
  <c r="J109" i="1" s="1"/>
  <c r="K109" i="1" s="1"/>
  <c r="H109" i="1"/>
  <c r="K108" i="1"/>
  <c r="I108" i="1"/>
  <c r="J108" i="1" s="1"/>
  <c r="H108" i="1"/>
  <c r="I107" i="1"/>
  <c r="J107" i="1" s="1"/>
  <c r="K107" i="1" s="1"/>
  <c r="H107" i="1"/>
  <c r="K106" i="1"/>
  <c r="I106" i="1"/>
  <c r="J106" i="1" s="1"/>
  <c r="H106" i="1"/>
  <c r="I105" i="1"/>
  <c r="J105" i="1" s="1"/>
  <c r="K105" i="1" s="1"/>
  <c r="H105" i="1"/>
  <c r="K104" i="1"/>
  <c r="I104" i="1"/>
  <c r="J104" i="1" s="1"/>
  <c r="H104" i="1"/>
  <c r="I103" i="1"/>
  <c r="J103" i="1" s="1"/>
  <c r="K103" i="1" s="1"/>
  <c r="H103" i="1"/>
  <c r="K102" i="1"/>
  <c r="I102" i="1"/>
  <c r="J102" i="1" s="1"/>
  <c r="H102" i="1"/>
  <c r="I101" i="1"/>
  <c r="J101" i="1" s="1"/>
  <c r="K101" i="1" s="1"/>
  <c r="H101" i="1"/>
  <c r="K100" i="1"/>
  <c r="I100" i="1"/>
  <c r="J100" i="1" s="1"/>
  <c r="H100" i="1"/>
  <c r="I99" i="1"/>
  <c r="J99" i="1" s="1"/>
  <c r="K99" i="1" s="1"/>
  <c r="H99" i="1"/>
  <c r="K98" i="1"/>
  <c r="I98" i="1"/>
  <c r="J98" i="1" s="1"/>
  <c r="H98" i="1"/>
  <c r="I97" i="1"/>
  <c r="J97" i="1" s="1"/>
  <c r="K97" i="1" s="1"/>
  <c r="H97" i="1"/>
  <c r="I96" i="1"/>
  <c r="J96" i="1" s="1"/>
  <c r="K96" i="1" s="1"/>
  <c r="H96" i="1"/>
  <c r="I95" i="1"/>
  <c r="J95" i="1" s="1"/>
  <c r="K95" i="1" s="1"/>
  <c r="H95" i="1"/>
  <c r="I94" i="1"/>
  <c r="J94" i="1" s="1"/>
  <c r="K94" i="1" s="1"/>
  <c r="H94" i="1"/>
  <c r="I93" i="1"/>
  <c r="J93" i="1" s="1"/>
  <c r="K93" i="1" s="1"/>
  <c r="H93" i="1"/>
  <c r="I92" i="1"/>
  <c r="J92" i="1" s="1"/>
  <c r="K92" i="1" s="1"/>
  <c r="H92" i="1"/>
  <c r="I91" i="1"/>
  <c r="J91" i="1" s="1"/>
  <c r="K91" i="1" s="1"/>
  <c r="H91" i="1"/>
  <c r="I90" i="1"/>
  <c r="J90" i="1" s="1"/>
  <c r="K90" i="1" s="1"/>
  <c r="H90" i="1"/>
  <c r="I89" i="1"/>
  <c r="J89" i="1" s="1"/>
  <c r="K89" i="1" s="1"/>
  <c r="H89" i="1"/>
  <c r="I88" i="1"/>
  <c r="J88" i="1" s="1"/>
  <c r="K88" i="1" s="1"/>
  <c r="H88" i="1"/>
  <c r="I87" i="1"/>
  <c r="J87" i="1" s="1"/>
  <c r="K87" i="1" s="1"/>
  <c r="H87" i="1"/>
  <c r="I86" i="1"/>
  <c r="J86" i="1" s="1"/>
  <c r="K86" i="1" s="1"/>
  <c r="H86" i="1"/>
  <c r="I85" i="1"/>
  <c r="J85" i="1" s="1"/>
  <c r="K85" i="1" s="1"/>
  <c r="H85" i="1"/>
  <c r="I84" i="1"/>
  <c r="J84" i="1" s="1"/>
  <c r="K84" i="1" s="1"/>
  <c r="H84" i="1"/>
  <c r="I83" i="1"/>
  <c r="J83" i="1" s="1"/>
  <c r="K83" i="1" s="1"/>
  <c r="H83" i="1"/>
  <c r="I82" i="1"/>
  <c r="J82" i="1" s="1"/>
  <c r="K82" i="1" s="1"/>
  <c r="H82" i="1"/>
  <c r="I81" i="1"/>
  <c r="J81" i="1" s="1"/>
  <c r="K81" i="1" s="1"/>
  <c r="H81" i="1"/>
  <c r="I80" i="1"/>
  <c r="J80" i="1" s="1"/>
  <c r="K80" i="1" s="1"/>
  <c r="H80" i="1"/>
  <c r="I79" i="1"/>
  <c r="J79" i="1" s="1"/>
  <c r="K79" i="1" s="1"/>
  <c r="H79" i="1"/>
  <c r="I78" i="1"/>
  <c r="J78" i="1" s="1"/>
  <c r="K78" i="1" s="1"/>
  <c r="H78" i="1"/>
  <c r="I77" i="1"/>
  <c r="J77" i="1" s="1"/>
  <c r="K77" i="1" s="1"/>
  <c r="H77" i="1"/>
  <c r="I76" i="1"/>
  <c r="J76" i="1" s="1"/>
  <c r="K76" i="1" s="1"/>
  <c r="H76" i="1"/>
  <c r="I75" i="1"/>
  <c r="J75" i="1" s="1"/>
  <c r="K75" i="1" s="1"/>
  <c r="H75" i="1"/>
  <c r="I74" i="1"/>
  <c r="J74" i="1" s="1"/>
  <c r="K74" i="1" s="1"/>
  <c r="H74" i="1"/>
  <c r="I73" i="1"/>
  <c r="J73" i="1" s="1"/>
  <c r="K73" i="1" s="1"/>
  <c r="H73" i="1"/>
  <c r="I72" i="1"/>
  <c r="J72" i="1" s="1"/>
  <c r="K72" i="1" s="1"/>
  <c r="H72" i="1"/>
  <c r="I71" i="1"/>
  <c r="J71" i="1" s="1"/>
  <c r="K71" i="1" s="1"/>
  <c r="H71" i="1"/>
  <c r="I70" i="1"/>
  <c r="J70" i="1" s="1"/>
  <c r="K70" i="1" s="1"/>
  <c r="H70" i="1"/>
  <c r="I69" i="1"/>
  <c r="J69" i="1" s="1"/>
  <c r="K69" i="1" s="1"/>
  <c r="H69" i="1"/>
  <c r="I68" i="1"/>
  <c r="J68" i="1" s="1"/>
  <c r="K68" i="1" s="1"/>
  <c r="H68" i="1"/>
  <c r="I67" i="1"/>
  <c r="J67" i="1" s="1"/>
  <c r="K67" i="1" s="1"/>
  <c r="H67" i="1"/>
  <c r="I66" i="1"/>
  <c r="J66" i="1" s="1"/>
  <c r="K66" i="1" s="1"/>
  <c r="H66" i="1"/>
  <c r="I65" i="1"/>
  <c r="J65" i="1" s="1"/>
  <c r="K65" i="1" s="1"/>
  <c r="H65" i="1"/>
  <c r="I64" i="1"/>
  <c r="J64" i="1" s="1"/>
  <c r="K64" i="1" s="1"/>
  <c r="H64" i="1"/>
  <c r="I63" i="1"/>
  <c r="J63" i="1" s="1"/>
  <c r="K63" i="1" s="1"/>
  <c r="H63" i="1"/>
  <c r="I62" i="1"/>
  <c r="J62" i="1" s="1"/>
  <c r="K62" i="1" s="1"/>
  <c r="H62" i="1"/>
  <c r="I61" i="1"/>
  <c r="J61" i="1" s="1"/>
  <c r="K61" i="1" s="1"/>
  <c r="H61" i="1"/>
  <c r="I60" i="1"/>
  <c r="J60" i="1" s="1"/>
  <c r="K60" i="1" s="1"/>
  <c r="H60" i="1"/>
  <c r="I59" i="1"/>
  <c r="J59" i="1" s="1"/>
  <c r="K59" i="1" s="1"/>
  <c r="H59" i="1"/>
  <c r="I58" i="1"/>
  <c r="J58" i="1" s="1"/>
  <c r="K58" i="1" s="1"/>
  <c r="H58" i="1"/>
  <c r="I57" i="1"/>
  <c r="J57" i="1" s="1"/>
  <c r="K57" i="1" s="1"/>
  <c r="H57" i="1"/>
  <c r="I56" i="1"/>
  <c r="J56" i="1" s="1"/>
  <c r="K56" i="1" s="1"/>
  <c r="H56" i="1"/>
  <c r="I55" i="1"/>
  <c r="J55" i="1" s="1"/>
  <c r="K55" i="1" s="1"/>
  <c r="H55" i="1"/>
  <c r="I54" i="1"/>
  <c r="J54" i="1" s="1"/>
  <c r="K54" i="1" s="1"/>
  <c r="H54" i="1"/>
  <c r="I53" i="1"/>
  <c r="J53" i="1" s="1"/>
  <c r="K53" i="1" s="1"/>
  <c r="H53" i="1"/>
  <c r="I52" i="1"/>
  <c r="J52" i="1" s="1"/>
  <c r="K52" i="1" s="1"/>
  <c r="H52" i="1"/>
  <c r="I51" i="1"/>
  <c r="J51" i="1" s="1"/>
  <c r="K51" i="1" s="1"/>
  <c r="H51" i="1"/>
  <c r="I50" i="1"/>
  <c r="J50" i="1" s="1"/>
  <c r="K50" i="1" s="1"/>
  <c r="H50" i="1"/>
  <c r="I49" i="1"/>
  <c r="J49" i="1" s="1"/>
  <c r="K49" i="1" s="1"/>
  <c r="H49" i="1"/>
  <c r="I48" i="1"/>
  <c r="J48" i="1" s="1"/>
  <c r="K48" i="1" s="1"/>
  <c r="H48" i="1"/>
  <c r="I47" i="1"/>
  <c r="J47" i="1" s="1"/>
  <c r="K47" i="1" s="1"/>
  <c r="H47" i="1"/>
  <c r="I46" i="1"/>
  <c r="J46" i="1" s="1"/>
  <c r="K46" i="1" s="1"/>
  <c r="H46" i="1"/>
  <c r="I45" i="1"/>
  <c r="J45" i="1" s="1"/>
  <c r="K45" i="1" s="1"/>
  <c r="H45" i="1"/>
  <c r="I44" i="1"/>
  <c r="J44" i="1" s="1"/>
  <c r="K44" i="1" s="1"/>
  <c r="H44" i="1"/>
  <c r="I43" i="1"/>
  <c r="J43" i="1" s="1"/>
  <c r="K43" i="1" s="1"/>
  <c r="H43" i="1"/>
  <c r="I42" i="1"/>
  <c r="J42" i="1" s="1"/>
  <c r="K42" i="1" s="1"/>
  <c r="H42" i="1"/>
  <c r="I41" i="1"/>
  <c r="J41" i="1" s="1"/>
  <c r="K41" i="1" s="1"/>
  <c r="H41" i="1"/>
  <c r="I40" i="1"/>
  <c r="J40" i="1" s="1"/>
  <c r="K40" i="1" s="1"/>
  <c r="H40" i="1"/>
  <c r="I39" i="1"/>
  <c r="J39" i="1" s="1"/>
  <c r="K39" i="1" s="1"/>
  <c r="H39" i="1"/>
  <c r="I38" i="1"/>
  <c r="J38" i="1" s="1"/>
  <c r="K38" i="1" s="1"/>
  <c r="H38" i="1"/>
  <c r="I37" i="1"/>
  <c r="J37" i="1" s="1"/>
  <c r="K37" i="1" s="1"/>
  <c r="H37" i="1"/>
  <c r="I36" i="1"/>
  <c r="J36" i="1" s="1"/>
  <c r="K36" i="1" s="1"/>
  <c r="H36" i="1"/>
  <c r="I35" i="1"/>
  <c r="J35" i="1" s="1"/>
  <c r="K35" i="1" s="1"/>
  <c r="H35" i="1"/>
  <c r="I34" i="1"/>
  <c r="J34" i="1" s="1"/>
  <c r="K34" i="1" s="1"/>
  <c r="H34" i="1"/>
  <c r="I33" i="1"/>
  <c r="J33" i="1" s="1"/>
  <c r="K33" i="1" s="1"/>
  <c r="H33" i="1"/>
  <c r="I32" i="1"/>
  <c r="J32" i="1" s="1"/>
  <c r="K32" i="1" s="1"/>
  <c r="H32" i="1"/>
  <c r="I31" i="1"/>
  <c r="J31" i="1" s="1"/>
  <c r="K31" i="1" s="1"/>
  <c r="H31" i="1"/>
  <c r="I30" i="1"/>
  <c r="J30" i="1" s="1"/>
  <c r="K30" i="1" s="1"/>
  <c r="H30" i="1"/>
  <c r="I29" i="1"/>
  <c r="J29" i="1" s="1"/>
  <c r="K29" i="1" s="1"/>
  <c r="H29" i="1"/>
  <c r="I28" i="1"/>
  <c r="J28" i="1" s="1"/>
  <c r="K28" i="1" s="1"/>
  <c r="H28" i="1"/>
  <c r="I27" i="1"/>
  <c r="J27" i="1" s="1"/>
  <c r="K27" i="1" s="1"/>
  <c r="H27" i="1"/>
  <c r="I26" i="1"/>
  <c r="J26" i="1" s="1"/>
  <c r="K26" i="1" s="1"/>
  <c r="H26" i="1"/>
  <c r="I25" i="1"/>
  <c r="J25" i="1" s="1"/>
  <c r="K25" i="1" s="1"/>
  <c r="H25" i="1"/>
  <c r="I24" i="1"/>
  <c r="J24" i="1" s="1"/>
  <c r="K24" i="1" s="1"/>
  <c r="H24" i="1"/>
  <c r="I23" i="1"/>
  <c r="J23" i="1" s="1"/>
  <c r="K23" i="1" s="1"/>
  <c r="H23" i="1"/>
  <c r="I22" i="1"/>
  <c r="J22" i="1" s="1"/>
  <c r="K22" i="1" s="1"/>
  <c r="H22" i="1"/>
  <c r="I21" i="1"/>
  <c r="J21" i="1" s="1"/>
  <c r="K21" i="1" s="1"/>
  <c r="H21" i="1"/>
  <c r="I20" i="1"/>
  <c r="J20" i="1" s="1"/>
  <c r="K20" i="1" s="1"/>
  <c r="H20" i="1"/>
  <c r="I19" i="1"/>
  <c r="J19" i="1" s="1"/>
  <c r="K19" i="1" s="1"/>
  <c r="H19" i="1"/>
  <c r="I18" i="1"/>
  <c r="J18" i="1" s="1"/>
  <c r="K18" i="1" s="1"/>
  <c r="H18" i="1"/>
  <c r="I17" i="1"/>
  <c r="J17" i="1" s="1"/>
  <c r="K17" i="1" s="1"/>
  <c r="H17" i="1"/>
  <c r="I16" i="1"/>
  <c r="J16" i="1" s="1"/>
  <c r="K16" i="1" s="1"/>
  <c r="H16" i="1"/>
  <c r="I15" i="1"/>
  <c r="J15" i="1" s="1"/>
  <c r="K15" i="1" s="1"/>
  <c r="H15" i="1"/>
  <c r="I14" i="1"/>
  <c r="J14" i="1" s="1"/>
  <c r="K14" i="1" s="1"/>
  <c r="H14" i="1"/>
  <c r="I13" i="1"/>
  <c r="J13" i="1" s="1"/>
  <c r="K13" i="1" s="1"/>
  <c r="H13" i="1"/>
  <c r="I12" i="1"/>
  <c r="J12" i="1" s="1"/>
  <c r="K12" i="1" s="1"/>
  <c r="H12" i="1"/>
  <c r="I11" i="1"/>
  <c r="J11" i="1" s="1"/>
  <c r="K11" i="1" s="1"/>
  <c r="H11" i="1"/>
  <c r="I10" i="1"/>
  <c r="J10" i="1" s="1"/>
  <c r="K10" i="1" s="1"/>
  <c r="H10" i="1"/>
  <c r="I9" i="1"/>
  <c r="J9" i="1" s="1"/>
  <c r="K9" i="1" s="1"/>
  <c r="H9" i="1"/>
  <c r="I8" i="1"/>
  <c r="J8" i="1" s="1"/>
  <c r="K8" i="1" s="1"/>
  <c r="H8" i="1"/>
  <c r="I7" i="1"/>
  <c r="J7" i="1" s="1"/>
  <c r="K7" i="1" s="1"/>
  <c r="H7" i="1"/>
  <c r="I6" i="1"/>
  <c r="J6" i="1" s="1"/>
  <c r="K6" i="1" s="1"/>
  <c r="H6" i="1"/>
  <c r="I5" i="1"/>
  <c r="J5" i="1" s="1"/>
  <c r="K5" i="1" s="1"/>
  <c r="H5" i="1"/>
  <c r="I4" i="1"/>
  <c r="J4" i="1" s="1"/>
  <c r="K4" i="1" s="1"/>
  <c r="H4" i="1"/>
  <c r="I3" i="1"/>
  <c r="J3" i="1" s="1"/>
  <c r="K3" i="1" s="1"/>
  <c r="H3" i="1"/>
  <c r="I2" i="1"/>
  <c r="J2" i="1" s="1"/>
  <c r="H2" i="1"/>
  <c r="B36" i="3" s="1"/>
  <c r="C16" i="3" l="1"/>
  <c r="C14" i="3"/>
  <c r="C12" i="3"/>
  <c r="C10" i="3"/>
  <c r="C6" i="3"/>
  <c r="C20" i="2"/>
  <c r="C12" i="2"/>
  <c r="C8" i="3"/>
  <c r="C22" i="2"/>
  <c r="C18" i="2"/>
  <c r="C16" i="2"/>
  <c r="C14" i="2"/>
  <c r="C17" i="3"/>
  <c r="C15" i="3"/>
  <c r="C13" i="3"/>
  <c r="C11" i="3"/>
  <c r="C9" i="3"/>
  <c r="C7" i="3"/>
  <c r="C21" i="2"/>
  <c r="C19" i="2"/>
  <c r="C17" i="2"/>
  <c r="C15" i="2"/>
  <c r="C13" i="2"/>
  <c r="C11" i="2"/>
  <c r="G6" i="2"/>
  <c r="K2" i="1"/>
  <c r="J6" i="2" s="1"/>
  <c r="B33" i="3"/>
  <c r="A6" i="2"/>
  <c r="B11" i="2"/>
  <c r="J11" i="2"/>
  <c r="F12" i="2"/>
  <c r="B13" i="2"/>
  <c r="J13" i="2"/>
  <c r="F14" i="2"/>
  <c r="B15" i="2"/>
  <c r="J15" i="2"/>
  <c r="B17" i="2"/>
  <c r="B19" i="2"/>
  <c r="B21" i="2"/>
  <c r="B25" i="2"/>
  <c r="B27" i="2"/>
  <c r="B29" i="2"/>
  <c r="B7" i="3"/>
  <c r="B9" i="3"/>
  <c r="B11" i="3"/>
  <c r="B13" i="3"/>
  <c r="B15" i="3"/>
  <c r="B17" i="3"/>
  <c r="B23" i="3"/>
  <c r="B25" i="3"/>
  <c r="B32" i="3"/>
</calcChain>
</file>

<file path=xl/sharedStrings.xml><?xml version="1.0" encoding="utf-8"?>
<sst xmlns="http://schemas.openxmlformats.org/spreadsheetml/2006/main" count="958" uniqueCount="59">
  <si>
    <t>#</t>
  </si>
  <si>
    <t>الشهر</t>
  </si>
  <si>
    <t>المنطقة</t>
  </si>
  <si>
    <t>المنتج</t>
  </si>
  <si>
    <t>البائع</t>
  </si>
  <si>
    <t>الكمية</t>
  </si>
  <si>
    <t>سعر الوحدة (ج.م)</t>
  </si>
  <si>
    <t>إجمالي المبيعات (ج.م)</t>
  </si>
  <si>
    <t>تكلفة البضاعة (ج.م)</t>
  </si>
  <si>
    <t>صافي الربح (ج.م)</t>
  </si>
  <si>
    <t>نسبة الربح %</t>
  </si>
  <si>
    <t>يناير</t>
  </si>
  <si>
    <t>الشمال</t>
  </si>
  <si>
    <t>لابتوب برو</t>
  </si>
  <si>
    <t>محمود حسن</t>
  </si>
  <si>
    <t>الوسط</t>
  </si>
  <si>
    <t>أحمد محمد</t>
  </si>
  <si>
    <t>سارة علي</t>
  </si>
  <si>
    <t>سماعات لاسلكية</t>
  </si>
  <si>
    <t>الغرب</t>
  </si>
  <si>
    <t>هاتف سمارت</t>
  </si>
  <si>
    <t>تابلت إكس</t>
  </si>
  <si>
    <t>ساعة ذكية</t>
  </si>
  <si>
    <t>نورا إبراهيم</t>
  </si>
  <si>
    <t>الشرق</t>
  </si>
  <si>
    <t>خالد يوسف</t>
  </si>
  <si>
    <t>الجنوب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</si>
  <si>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</si>
  <si>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</si>
  <si>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</si>
  <si>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</si>
  <si>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</si>
  <si>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</si>
  <si>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</si>
  <si>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</si>
  <si>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</si>
  <si>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</si>
  <si>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</si>
  <si>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تقرير سنوي شامل | إجمالي المبيعات – المنتجات – المناطق – البائعون</t>
  </si>
  <si>
    <t>💰 إجمالي المبيعات</t>
  </si>
  <si>
    <t>📦 عدد الصفقات</t>
  </si>
  <si>
    <t>🏆 صافي الربح</t>
  </si>
  <si>
    <t>📈 متوسط نسبة الربح</t>
  </si>
  <si>
    <t>📅 المبيعات الشهرية</t>
  </si>
  <si>
    <t>🛒 أداء المنتجات</t>
  </si>
  <si>
    <t>🗺️ أداء المناطق</t>
  </si>
  <si>
    <t>المبيعات (ج.م)</t>
  </si>
  <si>
    <t>الربح (ج.م)</t>
  </si>
  <si>
    <t>عدد الصفقات</t>
  </si>
  <si>
    <t>👤 أداء فريق المبيعات</t>
  </si>
  <si>
    <t>إجمالي مبيعاته (ج.م)</t>
  </si>
  <si>
    <t>عدد صفقاته</t>
  </si>
  <si>
    <t>📈 الرسوم البيانية التحليلية</t>
  </si>
  <si>
    <t>بيانات الرسم البياني الشهري</t>
  </si>
  <si>
    <t>المبيعات</t>
  </si>
  <si>
    <t>الربح</t>
  </si>
  <si>
    <t>بيانات المنتجات</t>
  </si>
  <si>
    <t>بيانات المناطق</t>
  </si>
  <si>
    <r>
      <t>📊 لوحة تحليل المبيعات –</t>
    </r>
    <r>
      <rPr>
        <b/>
        <sz val="22"/>
        <color rgb="FFFFFFFF"/>
        <rFont val="Arial"/>
        <family val="2"/>
      </rPr>
      <t xml:space="preserve">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</si>
</sst>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&quot; ج.م&quot;"/>
    <numFmt numFmtId="165" formatCode="0.0%"/>
    <numFmt numFmtId="166" formatCode="#,##0&quot; ج.م&quot;"/>
  </numFmts>
  <fonts count="15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1F3864"/>
      <name val="Arial"/>
      <charset val="1"/>
    </font>
    <font>
      <sz val="10"/>
      <color rgb="FF595959"/>
      <name val="Arial"/>
      <charset val="1"/>
    </font>
    <font>
      <b/>
      <sz val="20"/>
      <color rgb="FFFFFFFF"/>
      <name val="Arial"/>
      <charset val="1"/>
    </font>
    <font>
      <i/>
      <sz val="11"/>
      <color rgb="FF595959"/>
      <name val="Arial"/>
      <charset val="1"/>
    </font>
    <font>
      <b/>
      <sz val="10"/>
      <color rgb="FFFFFFFF"/>
      <name val="Arial"/>
      <charset val="1"/>
    </font>
    <font>
      <b/>
      <sz val="16"/>
      <color rgb="FFFFFFFF"/>
      <name val="Arial"/>
      <charset val="1"/>
    </font>
    <font>
      <b/>
      <sz val="10"/>
      <color rgb="FF595959"/>
      <name val="Arial"/>
      <charset val="1"/>
    </font>
    <font>
      <sz val="10"/>
      <color rgb="FF27AE60"/>
      <name val="Arial"/>
      <charset val="1"/>
    </font>
    <font>
      <b/>
      <sz val="18"/>
      <color rgb="FFFFFFFF"/>
      <name val="Arial"/>
      <charset val="1"/>
    </font>
    <font>
      <b/>
      <sz val="11"/>
      <color rgb="FF1F3864"/>
      <name val="Arial"/>
      <charset val="1"/>
    </font>
    <font>
      <sz val="11"/>
      <color theme="1"/>
      <name val="FreeSans"/>
      <family val="2"/>
    </font>
    <font>
      <b/>
      <sz val="22"/>
      <color rgb="FFFFFFFF"/>
      <name val="Arial"/>
      <family val="2"/>
    </font>
    <font>
      <b/>
      <sz val="2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D6E4F0"/>
        <bgColor rgb="FFD9D9D9"/>
      </patternFill>
    </fill>
    <fill>
      <patternFill patternType="solid">
        <fgColor rgb="FF2E75B6"/>
        <bgColor rgb="FF4F81BD"/>
      </patternFill>
    </fill>
    <fill>
      <patternFill patternType="solid">
        <fgColor rgb="FF27AE60"/>
        <bgColor rgb="FF008080"/>
      </patternFill>
    </fill>
    <fill>
      <patternFill patternType="solid">
        <fgColor rgb="FFE74C3C"/>
        <bgColor rgb="FFFF8080"/>
      </patternFill>
    </fill>
    <fill>
      <patternFill patternType="solid">
        <fgColor rgb="FF8E44AD"/>
        <bgColor rgb="FF99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166" fontId="3" fillId="3" borderId="1" xfId="0" applyNumberFormat="1" applyFont="1" applyFill="1" applyBorder="1" applyAlignment="1">
      <alignment horizontal="center"/>
    </xf>
    <xf numFmtId="166" fontId="9" fillId="3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166" fontId="3" fillId="4" borderId="1" xfId="0" applyNumberFormat="1" applyFont="1" applyFill="1" applyBorder="1" applyAlignment="1">
      <alignment horizontal="center"/>
    </xf>
    <xf numFmtId="166" fontId="9" fillId="4" borderId="1" xfId="0" applyNumberFormat="1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0" fontId="11" fillId="0" borderId="0" xfId="0" applyFont="1"/>
    <xf numFmtId="0" fontId="1" fillId="2" borderId="0" xfId="0" applyFont="1" applyFill="1" applyAlignment="1">
      <alignment horizontal="center"/>
    </xf>
    <xf numFmtId="0" fontId="12" fillId="0" borderId="0" xfId="0" applyFont="1"/>
    <xf numFmtId="3" fontId="0" fillId="0" borderId="0" xfId="0" applyNumberFormat="1"/>
    <xf numFmtId="0" fontId="1" fillId="8" borderId="0" xfId="0" applyFont="1" applyFill="1" applyAlignment="1">
      <alignment horizontal="center"/>
    </xf>
    <xf numFmtId="0" fontId="0" fillId="0" borderId="0" xfId="0"/>
    <xf numFmtId="0" fontId="1" fillId="9" borderId="0" xfId="0" applyFont="1" applyFill="1" applyAlignment="1">
      <alignment horizontal="center"/>
    </xf>
    <xf numFmtId="0" fontId="1" fillId="6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166" fontId="7" fillId="6" borderId="0" xfId="0" applyNumberFormat="1" applyFont="1" applyFill="1" applyBorder="1" applyAlignment="1">
      <alignment horizontal="center" vertical="center"/>
    </xf>
    <xf numFmtId="3" fontId="7" fillId="7" borderId="0" xfId="0" applyNumberFormat="1" applyFont="1" applyFill="1" applyBorder="1" applyAlignment="1">
      <alignment horizontal="center" vertical="center"/>
    </xf>
    <xf numFmtId="166" fontId="7" fillId="8" borderId="0" xfId="0" applyNumberFormat="1" applyFont="1" applyFill="1" applyBorder="1" applyAlignment="1">
      <alignment horizontal="center" vertical="center"/>
    </xf>
    <xf numFmtId="165" fontId="7" fillId="9" borderId="0" xfId="0" applyNumberFormat="1" applyFont="1" applyFill="1" applyBorder="1" applyAlignment="1">
      <alignment horizontal="center" vertical="center"/>
    </xf>
    <xf numFmtId="0" fontId="0" fillId="6" borderId="0" xfId="0" applyFill="1" applyBorder="1"/>
    <xf numFmtId="0" fontId="0" fillId="7" borderId="0" xfId="0" applyFill="1" applyBorder="1"/>
    <xf numFmtId="0" fontId="0" fillId="8" borderId="0" xfId="0" applyFill="1" applyBorder="1"/>
    <xf numFmtId="0" fontId="0" fillId="9" borderId="0" xfId="0" applyFill="1" applyBorder="1"/>
    <xf numFmtId="0" fontId="4" fillId="2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8E44AD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74C3C"/>
      <rgbColor rgb="FF595959"/>
      <rgbColor rgb="FF4F81BD"/>
      <rgbColor rgb="FF1F3864"/>
      <rgbColor rgb="FF27AE6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تطور المبيعات والربح الشهري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الرسوم البيانية'!$B$5</c:f>
              <c:strCache>
                <c:ptCount val="1"/>
                <c:pt idx="0">
                  <c:v>المبيعات</c:v>
                </c:pt>
              </c:strCache>
            </c:strRef>
          </c:tx>
          <c:spPr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الرسوم البيانية'!$A$6:$A$17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'📈 الرسوم البيانية'!$B$6:$B$17</c:f>
              <c:numCache>
                <c:formatCode>#,##0</c:formatCode>
                <c:ptCount val="12"/>
                <c:pt idx="0">
                  <c:v>1113303.8699999999</c:v>
                </c:pt>
                <c:pt idx="1">
                  <c:v>824441.54999999993</c:v>
                </c:pt>
                <c:pt idx="2">
                  <c:v>942205.25</c:v>
                </c:pt>
                <c:pt idx="3">
                  <c:v>744150.31</c:v>
                </c:pt>
                <c:pt idx="4">
                  <c:v>988681.97000000009</c:v>
                </c:pt>
                <c:pt idx="5">
                  <c:v>815440.57000000007</c:v>
                </c:pt>
                <c:pt idx="6">
                  <c:v>731338.44000000006</c:v>
                </c:pt>
                <c:pt idx="7">
                  <c:v>790221.39</c:v>
                </c:pt>
                <c:pt idx="8">
                  <c:v>821661.43</c:v>
                </c:pt>
                <c:pt idx="9">
                  <c:v>913664.59</c:v>
                </c:pt>
                <c:pt idx="10">
                  <c:v>929140.1399999999</c:v>
                </c:pt>
                <c:pt idx="11">
                  <c:v>868092.28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AF-4AF7-B527-1824E9C517BF}"/>
            </c:ext>
          </c:extLst>
        </c:ser>
        <c:ser>
          <c:idx val="1"/>
          <c:order val="1"/>
          <c:tx>
            <c:strRef>
              <c:f>'📈 الرسوم البيانية'!$C$5</c:f>
              <c:strCache>
                <c:ptCount val="1"/>
                <c:pt idx="0">
                  <c:v>الربح</c:v>
                </c:pt>
              </c:strCache>
            </c:strRef>
          </c:tx>
          <c:spPr>
            <a:ln w="4752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الرسوم البيانية'!$A$6:$A$17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'📈 الرسوم البيانية'!$C$6:$C$17</c:f>
              <c:numCache>
                <c:formatCode>#,##0</c:formatCode>
                <c:ptCount val="12"/>
                <c:pt idx="0">
                  <c:v>446747.07409999997</c:v>
                </c:pt>
                <c:pt idx="1">
                  <c:v>360621.26360000001</c:v>
                </c:pt>
                <c:pt idx="2">
                  <c:v>385904.51630000002</c:v>
                </c:pt>
                <c:pt idx="3">
                  <c:v>326116.43959999998</c:v>
                </c:pt>
                <c:pt idx="4">
                  <c:v>416647.19290000002</c:v>
                </c:pt>
                <c:pt idx="5">
                  <c:v>358943.43449999997</c:v>
                </c:pt>
                <c:pt idx="6">
                  <c:v>318055.15340000007</c:v>
                </c:pt>
                <c:pt idx="7">
                  <c:v>364579.71680000005</c:v>
                </c:pt>
                <c:pt idx="8">
                  <c:v>345696.05090000003</c:v>
                </c:pt>
                <c:pt idx="9">
                  <c:v>384383.43119999993</c:v>
                </c:pt>
                <c:pt idx="10">
                  <c:v>408642.73590000003</c:v>
                </c:pt>
                <c:pt idx="11">
                  <c:v>367064.03620000009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EAF-4AF7-B527-1824E9C51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040634"/>
        <c:axId val="6223859"/>
      </c:lineChart>
      <c:catAx>
        <c:axId val="760406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SA" sz="1000" b="1" strike="noStrike" spc="-1">
                    <a:solidFill>
                      <a:srgbClr val="000000"/>
                    </a:solidFill>
                    <a:latin typeface="Calibri"/>
                  </a:rPr>
                  <a:t>الشهر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23859"/>
        <c:crosses val="autoZero"/>
        <c:auto val="1"/>
        <c:lblAlgn val="ctr"/>
        <c:lblOffset val="100"/>
        <c:noMultiLvlLbl val="0"/>
      </c:catAx>
      <c:valAx>
        <c:axId val="62238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SA" sz="1000" b="1" strike="noStrike" spc="-1">
                    <a:solidFill>
                      <a:srgbClr val="000000"/>
                    </a:solidFill>
                    <a:latin typeface="Calibri"/>
                  </a:rPr>
                  <a:t>القيمة (ج.م)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0406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مقارنة مبيعات المنتجات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الرسوم البيانية'!$B$21</c:f>
              <c:strCache>
                <c:ptCount val="1"/>
                <c:pt idx="0">
                  <c:v>المبيعات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الرسوم البيانية'!$A$22:$A$26</c:f>
              <c:strCache>
                <c:ptCount val="5"/>
                <c:pt idx="0">
                  <c:v>لابتوب برو</c:v>
                </c:pt>
                <c:pt idx="1">
                  <c:v>هاتف سمارت</c:v>
                </c:pt>
                <c:pt idx="2">
                  <c:v>تابلت إكس</c:v>
                </c:pt>
                <c:pt idx="3">
                  <c:v>سماعات لاسلكية</c:v>
                </c:pt>
                <c:pt idx="4">
                  <c:v>ساعة ذكية</c:v>
                </c:pt>
              </c:strCache>
            </c:strRef>
          </c:cat>
          <c:val>
            <c:numRef>
              <c:f>'📈 الرسوم البيانية'!$B$22:$B$26</c:f>
              <c:numCache>
                <c:formatCode>#,##0</c:formatCode>
                <c:ptCount val="5"/>
                <c:pt idx="0">
                  <c:v>4212699.1300000008</c:v>
                </c:pt>
                <c:pt idx="1">
                  <c:v>2442295.1</c:v>
                </c:pt>
                <c:pt idx="2">
                  <c:v>1837139.6099999994</c:v>
                </c:pt>
                <c:pt idx="3">
                  <c:v>699892.69</c:v>
                </c:pt>
                <c:pt idx="4">
                  <c:v>1290315.2599999995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E-4302-8877-D5157DE3C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870984"/>
        <c:axId val="8496298"/>
      </c:barChart>
      <c:catAx>
        <c:axId val="69870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96298"/>
        <c:crosses val="autoZero"/>
        <c:auto val="1"/>
        <c:lblAlgn val="ctr"/>
        <c:lblOffset val="100"/>
        <c:noMultiLvlLbl val="0"/>
      </c:catAx>
      <c:valAx>
        <c:axId val="84962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SA" sz="1000" b="1" strike="noStrike" spc="-1">
                    <a:solidFill>
                      <a:srgbClr val="000000"/>
                    </a:solidFill>
                    <a:latin typeface="Calibri"/>
                  </a:rPr>
                  <a:t>إجمالي المبيعات (ج.م)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8709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توزيع المبيعات حسب المنطقة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'📈 الرسوم البيانية'!$B$31</c:f>
              <c:strCache>
                <c:ptCount val="1"/>
                <c:pt idx="0">
                  <c:v>المبيعات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1F386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FF8-44A5-863D-D44169F1E035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FF8-44A5-863D-D44169F1E035}"/>
              </c:ext>
            </c:extLst>
          </c:dPt>
          <c:dPt>
            <c:idx val="2"/>
            <c:bubble3D val="0"/>
            <c:spPr>
              <a:solidFill>
                <a:srgbClr val="E74C3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FF8-44A5-863D-D44169F1E035}"/>
              </c:ext>
            </c:extLst>
          </c:dPt>
          <c:dPt>
            <c:idx val="3"/>
            <c:bubble3D val="0"/>
            <c:spPr>
              <a:solidFill>
                <a:srgbClr val="27AE6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BFF8-44A5-863D-D44169F1E035}"/>
              </c:ext>
            </c:extLst>
          </c:dPt>
          <c:dPt>
            <c:idx val="4"/>
            <c:bubble3D val="0"/>
            <c:spPr>
              <a:solidFill>
                <a:srgbClr val="8E44A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BFF8-44A5-863D-D44169F1E035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F8-44A5-863D-D44169F1E035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F8-44A5-863D-D44169F1E035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F8-44A5-863D-D44169F1E035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FF8-44A5-863D-D44169F1E035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FF8-44A5-863D-D44169F1E0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'📈 الرسوم البيانية'!$A$32:$A$36</c:f>
              <c:strCache>
                <c:ptCount val="5"/>
                <c:pt idx="0">
                  <c:v>الشمال</c:v>
                </c:pt>
                <c:pt idx="1">
                  <c:v>الجنوب</c:v>
                </c:pt>
                <c:pt idx="2">
                  <c:v>الشرق</c:v>
                </c:pt>
                <c:pt idx="3">
                  <c:v>الغرب</c:v>
                </c:pt>
                <c:pt idx="4">
                  <c:v>الوسط</c:v>
                </c:pt>
              </c:strCache>
            </c:strRef>
          </c:cat>
          <c:val>
            <c:numRef>
              <c:f>'📈 الرسوم البيانية'!$B$32:$B$36</c:f>
              <c:numCache>
                <c:formatCode>#,##0</c:formatCode>
                <c:ptCount val="5"/>
                <c:pt idx="0">
                  <c:v>1668953.31</c:v>
                </c:pt>
                <c:pt idx="1">
                  <c:v>1903985.09</c:v>
                </c:pt>
                <c:pt idx="2">
                  <c:v>1983703.4799999997</c:v>
                </c:pt>
                <c:pt idx="3">
                  <c:v>2372972.27</c:v>
                </c:pt>
                <c:pt idx="4">
                  <c:v>2552727.64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FF8-44A5-863D-D44169F1E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-433080</xdr:colOff>
      <xdr:row>3</xdr:row>
      <xdr:rowOff>0</xdr:rowOff>
    </xdr:from>
    <xdr:to>
      <xdr:col>10</xdr:col>
      <xdr:colOff>0</xdr:colOff>
      <xdr:row>29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-433080</xdr:colOff>
      <xdr:row>19</xdr:row>
      <xdr:rowOff>0</xdr:rowOff>
    </xdr:from>
    <xdr:to>
      <xdr:col>10</xdr:col>
      <xdr:colOff>0</xdr:colOff>
      <xdr:row>45</xdr:row>
      <xdr:rowOff>86400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-433080</xdr:colOff>
      <xdr:row>35</xdr:row>
      <xdr:rowOff>0</xdr:rowOff>
    </xdr:from>
    <xdr:to>
      <xdr:col>10</xdr:col>
      <xdr:colOff>0</xdr:colOff>
      <xdr:row>61</xdr:row>
      <xdr:rowOff>86760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7"/>
  <sheetViews>
    <sheetView rightToLeft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6" customWidth="1"/>
    <col min="2" max="3" width="12" customWidth="1"/>
    <col min="4" max="4" width="18" customWidth="1"/>
    <col min="5" max="5" width="16" customWidth="1"/>
    <col min="6" max="6" width="10" customWidth="1"/>
    <col min="7" max="7" width="20" customWidth="1"/>
    <col min="8" max="9" width="22" customWidth="1"/>
    <col min="10" max="10" width="20" customWidth="1"/>
    <col min="11" max="11" width="16" customWidth="1"/>
  </cols>
  <sheetData>
    <row r="1" spans="1:1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>
        <v>18</v>
      </c>
      <c r="G2" s="3">
        <v>4340.8900000000003</v>
      </c>
      <c r="H2" s="4">
        <f t="shared" ref="H2:H65" si="0">F2*G2</f>
        <v>78136.02</v>
      </c>
      <c r="I2" s="4">
        <f>F2*G2*0.62</f>
        <v>48444.332399999999</v>
      </c>
      <c r="J2" s="4">
        <f t="shared" ref="J2:J65" si="1">H2-I2</f>
        <v>29691.687600000005</v>
      </c>
      <c r="K2" s="5">
        <f t="shared" ref="K2:K65" si="2">IF(H2=0,0,J2/H2)</f>
        <v>0.38000000000000006</v>
      </c>
    </row>
    <row r="3" spans="1:11">
      <c r="A3" s="6">
        <v>2</v>
      </c>
      <c r="B3" s="7" t="s">
        <v>11</v>
      </c>
      <c r="C3" s="7" t="s">
        <v>15</v>
      </c>
      <c r="D3" s="7" t="s">
        <v>13</v>
      </c>
      <c r="E3" s="7" t="s">
        <v>16</v>
      </c>
      <c r="F3" s="7">
        <v>40</v>
      </c>
      <c r="G3" s="7">
        <v>4519.7299999999996</v>
      </c>
      <c r="H3" s="8">
        <f t="shared" si="0"/>
        <v>180789.19999999998</v>
      </c>
      <c r="I3" s="8">
        <f>F3*G3*0.62</f>
        <v>112089.30399999999</v>
      </c>
      <c r="J3" s="8">
        <f t="shared" si="1"/>
        <v>68699.895999999993</v>
      </c>
      <c r="K3" s="9">
        <f t="shared" si="2"/>
        <v>0.38</v>
      </c>
    </row>
    <row r="4" spans="1:11">
      <c r="A4" s="2">
        <v>3</v>
      </c>
      <c r="B4" s="3" t="s">
        <v>11</v>
      </c>
      <c r="C4" s="3" t="s">
        <v>12</v>
      </c>
      <c r="D4" s="3" t="s">
        <v>13</v>
      </c>
      <c r="E4" s="3" t="s">
        <v>17</v>
      </c>
      <c r="F4" s="3">
        <v>17</v>
      </c>
      <c r="G4" s="3">
        <v>4594.82</v>
      </c>
      <c r="H4" s="4">
        <f t="shared" si="0"/>
        <v>78111.94</v>
      </c>
      <c r="I4" s="4">
        <f>F4*G4*0.62</f>
        <v>48429.402800000003</v>
      </c>
      <c r="J4" s="4">
        <f t="shared" si="1"/>
        <v>29682.537199999999</v>
      </c>
      <c r="K4" s="5">
        <f t="shared" si="2"/>
        <v>0.37999999999999995</v>
      </c>
    </row>
    <row r="5" spans="1:11">
      <c r="A5" s="6">
        <v>4</v>
      </c>
      <c r="B5" s="7" t="s">
        <v>11</v>
      </c>
      <c r="C5" s="7" t="s">
        <v>15</v>
      </c>
      <c r="D5" s="7" t="s">
        <v>13</v>
      </c>
      <c r="E5" s="7" t="s">
        <v>17</v>
      </c>
      <c r="F5" s="7">
        <v>37</v>
      </c>
      <c r="G5" s="7">
        <v>4517.57</v>
      </c>
      <c r="H5" s="8">
        <f t="shared" si="0"/>
        <v>167150.09</v>
      </c>
      <c r="I5" s="8">
        <f>F5*G5*0.62</f>
        <v>103633.0558</v>
      </c>
      <c r="J5" s="8">
        <f t="shared" si="1"/>
        <v>63517.034199999995</v>
      </c>
      <c r="K5" s="9">
        <f t="shared" si="2"/>
        <v>0.37999999999999995</v>
      </c>
    </row>
    <row r="6" spans="1:11">
      <c r="A6" s="2">
        <v>5</v>
      </c>
      <c r="B6" s="3" t="s">
        <v>11</v>
      </c>
      <c r="C6" s="3" t="s">
        <v>15</v>
      </c>
      <c r="D6" s="3" t="s">
        <v>18</v>
      </c>
      <c r="E6" s="3" t="s">
        <v>14</v>
      </c>
      <c r="F6" s="3">
        <v>3</v>
      </c>
      <c r="G6" s="3">
        <v>696.64</v>
      </c>
      <c r="H6" s="4">
        <f t="shared" si="0"/>
        <v>2089.92</v>
      </c>
      <c r="I6" s="4">
        <f>F6*G6*0.45</f>
        <v>940.46400000000006</v>
      </c>
      <c r="J6" s="4">
        <f t="shared" si="1"/>
        <v>1149.4560000000001</v>
      </c>
      <c r="K6" s="5">
        <f t="shared" si="2"/>
        <v>0.55000000000000004</v>
      </c>
    </row>
    <row r="7" spans="1:11">
      <c r="A7" s="6">
        <v>6</v>
      </c>
      <c r="B7" s="7" t="s">
        <v>11</v>
      </c>
      <c r="C7" s="7" t="s">
        <v>19</v>
      </c>
      <c r="D7" s="7" t="s">
        <v>20</v>
      </c>
      <c r="E7" s="7" t="s">
        <v>14</v>
      </c>
      <c r="F7" s="7">
        <v>20</v>
      </c>
      <c r="G7" s="7">
        <v>2663.07</v>
      </c>
      <c r="H7" s="8">
        <f t="shared" si="0"/>
        <v>53261.4</v>
      </c>
      <c r="I7" s="8">
        <f>F7*G7*0.58</f>
        <v>30891.611999999997</v>
      </c>
      <c r="J7" s="8">
        <f t="shared" si="1"/>
        <v>22369.788000000004</v>
      </c>
      <c r="K7" s="9">
        <f t="shared" si="2"/>
        <v>0.42000000000000004</v>
      </c>
    </row>
    <row r="8" spans="1:11">
      <c r="A8" s="2">
        <v>7</v>
      </c>
      <c r="B8" s="3" t="s">
        <v>11</v>
      </c>
      <c r="C8" s="3" t="s">
        <v>12</v>
      </c>
      <c r="D8" s="3" t="s">
        <v>21</v>
      </c>
      <c r="E8" s="3" t="s">
        <v>16</v>
      </c>
      <c r="F8" s="3">
        <v>27</v>
      </c>
      <c r="G8" s="3">
        <v>1784.75</v>
      </c>
      <c r="H8" s="4">
        <f t="shared" si="0"/>
        <v>48188.25</v>
      </c>
      <c r="I8" s="4">
        <f>F8*G8*0.55</f>
        <v>26503.537500000002</v>
      </c>
      <c r="J8" s="4">
        <f t="shared" si="1"/>
        <v>21684.712499999998</v>
      </c>
      <c r="K8" s="5">
        <f t="shared" si="2"/>
        <v>0.44999999999999996</v>
      </c>
    </row>
    <row r="9" spans="1:11">
      <c r="A9" s="6">
        <v>8</v>
      </c>
      <c r="B9" s="7" t="s">
        <v>11</v>
      </c>
      <c r="C9" s="7" t="s">
        <v>15</v>
      </c>
      <c r="D9" s="7" t="s">
        <v>21</v>
      </c>
      <c r="E9" s="7" t="s">
        <v>14</v>
      </c>
      <c r="F9" s="7">
        <v>5</v>
      </c>
      <c r="G9" s="7">
        <v>2025.3</v>
      </c>
      <c r="H9" s="8">
        <f t="shared" si="0"/>
        <v>10126.5</v>
      </c>
      <c r="I9" s="8">
        <f>F9*G9*0.55</f>
        <v>5569.5750000000007</v>
      </c>
      <c r="J9" s="8">
        <f t="shared" si="1"/>
        <v>4556.9249999999993</v>
      </c>
      <c r="K9" s="9">
        <f t="shared" si="2"/>
        <v>0.44999999999999996</v>
      </c>
    </row>
    <row r="10" spans="1:11">
      <c r="A10" s="2">
        <v>9</v>
      </c>
      <c r="B10" s="3" t="s">
        <v>11</v>
      </c>
      <c r="C10" s="3" t="s">
        <v>12</v>
      </c>
      <c r="D10" s="3" t="s">
        <v>22</v>
      </c>
      <c r="E10" s="3" t="s">
        <v>23</v>
      </c>
      <c r="F10" s="3">
        <v>8</v>
      </c>
      <c r="G10" s="3">
        <v>1236.49</v>
      </c>
      <c r="H10" s="4">
        <f t="shared" si="0"/>
        <v>9891.92</v>
      </c>
      <c r="I10" s="4">
        <f>F10*G10*0.5</f>
        <v>4945.96</v>
      </c>
      <c r="J10" s="4">
        <f t="shared" si="1"/>
        <v>4945.96</v>
      </c>
      <c r="K10" s="5">
        <f t="shared" si="2"/>
        <v>0.5</v>
      </c>
    </row>
    <row r="11" spans="1:11">
      <c r="A11" s="6">
        <v>10</v>
      </c>
      <c r="B11" s="7" t="s">
        <v>11</v>
      </c>
      <c r="C11" s="7" t="s">
        <v>24</v>
      </c>
      <c r="D11" s="7" t="s">
        <v>22</v>
      </c>
      <c r="E11" s="7" t="s">
        <v>25</v>
      </c>
      <c r="F11" s="7">
        <v>15</v>
      </c>
      <c r="G11" s="7">
        <v>1273.0999999999999</v>
      </c>
      <c r="H11" s="8">
        <f t="shared" si="0"/>
        <v>19096.5</v>
      </c>
      <c r="I11" s="8">
        <f>F11*G11*0.5</f>
        <v>9548.25</v>
      </c>
      <c r="J11" s="8">
        <f t="shared" si="1"/>
        <v>9548.25</v>
      </c>
      <c r="K11" s="9">
        <f t="shared" si="2"/>
        <v>0.5</v>
      </c>
    </row>
    <row r="12" spans="1:11">
      <c r="A12" s="2">
        <v>11</v>
      </c>
      <c r="B12" s="3" t="s">
        <v>11</v>
      </c>
      <c r="C12" s="3" t="s">
        <v>26</v>
      </c>
      <c r="D12" s="3" t="s">
        <v>13</v>
      </c>
      <c r="E12" s="3" t="s">
        <v>14</v>
      </c>
      <c r="F12" s="3">
        <v>8</v>
      </c>
      <c r="G12" s="3">
        <v>4909.79</v>
      </c>
      <c r="H12" s="4">
        <f t="shared" si="0"/>
        <v>39278.32</v>
      </c>
      <c r="I12" s="4">
        <f>F12*G12*0.62</f>
        <v>24352.558399999998</v>
      </c>
      <c r="J12" s="4">
        <f t="shared" si="1"/>
        <v>14925.761600000002</v>
      </c>
      <c r="K12" s="5">
        <f t="shared" si="2"/>
        <v>0.38000000000000006</v>
      </c>
    </row>
    <row r="13" spans="1:11">
      <c r="A13" s="6">
        <v>12</v>
      </c>
      <c r="B13" s="7" t="s">
        <v>11</v>
      </c>
      <c r="C13" s="7" t="s">
        <v>19</v>
      </c>
      <c r="D13" s="7" t="s">
        <v>13</v>
      </c>
      <c r="E13" s="7" t="s">
        <v>14</v>
      </c>
      <c r="F13" s="7">
        <v>32</v>
      </c>
      <c r="G13" s="7">
        <v>4712.12</v>
      </c>
      <c r="H13" s="8">
        <f t="shared" si="0"/>
        <v>150787.84</v>
      </c>
      <c r="I13" s="8">
        <f>F13*G13*0.62</f>
        <v>93488.460800000001</v>
      </c>
      <c r="J13" s="8">
        <f t="shared" si="1"/>
        <v>57299.379199999996</v>
      </c>
      <c r="K13" s="9">
        <f t="shared" si="2"/>
        <v>0.38</v>
      </c>
    </row>
    <row r="14" spans="1:11">
      <c r="A14" s="2">
        <v>13</v>
      </c>
      <c r="B14" s="3" t="s">
        <v>11</v>
      </c>
      <c r="C14" s="3" t="s">
        <v>26</v>
      </c>
      <c r="D14" s="3" t="s">
        <v>21</v>
      </c>
      <c r="E14" s="3" t="s">
        <v>14</v>
      </c>
      <c r="F14" s="3">
        <v>25</v>
      </c>
      <c r="G14" s="3">
        <v>1827.61</v>
      </c>
      <c r="H14" s="4">
        <f t="shared" si="0"/>
        <v>45690.25</v>
      </c>
      <c r="I14" s="4">
        <f>F14*G14*0.55</f>
        <v>25129.637500000001</v>
      </c>
      <c r="J14" s="4">
        <f t="shared" si="1"/>
        <v>20560.612499999999</v>
      </c>
      <c r="K14" s="5">
        <f t="shared" si="2"/>
        <v>0.45</v>
      </c>
    </row>
    <row r="15" spans="1:11">
      <c r="A15" s="6">
        <v>14</v>
      </c>
      <c r="B15" s="7" t="s">
        <v>11</v>
      </c>
      <c r="C15" s="7" t="s">
        <v>12</v>
      </c>
      <c r="D15" s="7" t="s">
        <v>21</v>
      </c>
      <c r="E15" s="7" t="s">
        <v>25</v>
      </c>
      <c r="F15" s="7">
        <v>13</v>
      </c>
      <c r="G15" s="7">
        <v>1950.97</v>
      </c>
      <c r="H15" s="8">
        <f t="shared" si="0"/>
        <v>25362.61</v>
      </c>
      <c r="I15" s="8">
        <f>F15*G15*0.55</f>
        <v>13949.435500000001</v>
      </c>
      <c r="J15" s="8">
        <f t="shared" si="1"/>
        <v>11413.174499999999</v>
      </c>
      <c r="K15" s="9">
        <f t="shared" si="2"/>
        <v>0.44999999999999996</v>
      </c>
    </row>
    <row r="16" spans="1:11">
      <c r="A16" s="2">
        <v>15</v>
      </c>
      <c r="B16" s="3" t="s">
        <v>11</v>
      </c>
      <c r="C16" s="3" t="s">
        <v>26</v>
      </c>
      <c r="D16" s="3" t="s">
        <v>20</v>
      </c>
      <c r="E16" s="3" t="s">
        <v>23</v>
      </c>
      <c r="F16" s="3">
        <v>27</v>
      </c>
      <c r="G16" s="3">
        <v>2727.17</v>
      </c>
      <c r="H16" s="4">
        <f t="shared" si="0"/>
        <v>73633.59</v>
      </c>
      <c r="I16" s="4">
        <f>F16*G16*0.58</f>
        <v>42707.482199999999</v>
      </c>
      <c r="J16" s="4">
        <f t="shared" si="1"/>
        <v>30926.107799999998</v>
      </c>
      <c r="K16" s="5">
        <f t="shared" si="2"/>
        <v>0.42</v>
      </c>
    </row>
    <row r="17" spans="1:11">
      <c r="A17" s="6">
        <v>16</v>
      </c>
      <c r="B17" s="7" t="s">
        <v>11</v>
      </c>
      <c r="C17" s="7" t="s">
        <v>26</v>
      </c>
      <c r="D17" s="7" t="s">
        <v>22</v>
      </c>
      <c r="E17" s="7" t="s">
        <v>14</v>
      </c>
      <c r="F17" s="7">
        <v>6</v>
      </c>
      <c r="G17" s="7">
        <v>1158.97</v>
      </c>
      <c r="H17" s="8">
        <f t="shared" si="0"/>
        <v>6953.82</v>
      </c>
      <c r="I17" s="8">
        <f>F17*G17*0.5</f>
        <v>3476.91</v>
      </c>
      <c r="J17" s="8">
        <f t="shared" si="1"/>
        <v>3476.91</v>
      </c>
      <c r="K17" s="9">
        <f t="shared" si="2"/>
        <v>0.5</v>
      </c>
    </row>
    <row r="18" spans="1:11">
      <c r="A18" s="2">
        <v>17</v>
      </c>
      <c r="B18" s="3" t="s">
        <v>11</v>
      </c>
      <c r="C18" s="3" t="s">
        <v>24</v>
      </c>
      <c r="D18" s="3" t="s">
        <v>13</v>
      </c>
      <c r="E18" s="3" t="s">
        <v>23</v>
      </c>
      <c r="F18" s="3">
        <v>20</v>
      </c>
      <c r="G18" s="3">
        <v>4199.57</v>
      </c>
      <c r="H18" s="4">
        <f t="shared" si="0"/>
        <v>83991.4</v>
      </c>
      <c r="I18" s="4">
        <f>F18*G18*0.62</f>
        <v>52074.667999999998</v>
      </c>
      <c r="J18" s="4">
        <f t="shared" si="1"/>
        <v>31916.731999999996</v>
      </c>
      <c r="K18" s="5">
        <f t="shared" si="2"/>
        <v>0.38</v>
      </c>
    </row>
    <row r="19" spans="1:11">
      <c r="A19" s="6">
        <v>18</v>
      </c>
      <c r="B19" s="7" t="s">
        <v>11</v>
      </c>
      <c r="C19" s="7" t="s">
        <v>24</v>
      </c>
      <c r="D19" s="7" t="s">
        <v>22</v>
      </c>
      <c r="E19" s="7" t="s">
        <v>17</v>
      </c>
      <c r="F19" s="7">
        <v>34</v>
      </c>
      <c r="G19" s="7">
        <v>1198.95</v>
      </c>
      <c r="H19" s="8">
        <f t="shared" si="0"/>
        <v>40764.300000000003</v>
      </c>
      <c r="I19" s="8">
        <f>F19*G19*0.5</f>
        <v>20382.150000000001</v>
      </c>
      <c r="J19" s="8">
        <f t="shared" si="1"/>
        <v>20382.150000000001</v>
      </c>
      <c r="K19" s="9">
        <f t="shared" si="2"/>
        <v>0.5</v>
      </c>
    </row>
    <row r="20" spans="1:11">
      <c r="A20" s="2">
        <v>19</v>
      </c>
      <c r="B20" s="3" t="s">
        <v>27</v>
      </c>
      <c r="C20" s="3" t="s">
        <v>26</v>
      </c>
      <c r="D20" s="3" t="s">
        <v>18</v>
      </c>
      <c r="E20" s="3" t="s">
        <v>14</v>
      </c>
      <c r="F20" s="3">
        <v>11</v>
      </c>
      <c r="G20" s="3">
        <v>630.05999999999995</v>
      </c>
      <c r="H20" s="4">
        <f t="shared" si="0"/>
        <v>6930.66</v>
      </c>
      <c r="I20" s="4">
        <f>F20*G20*0.45</f>
        <v>3118.797</v>
      </c>
      <c r="J20" s="4">
        <f t="shared" si="1"/>
        <v>3811.8629999999998</v>
      </c>
      <c r="K20" s="5">
        <f t="shared" si="2"/>
        <v>0.54999999999999993</v>
      </c>
    </row>
    <row r="21" spans="1:11">
      <c r="A21" s="6">
        <v>20</v>
      </c>
      <c r="B21" s="7" t="s">
        <v>27</v>
      </c>
      <c r="C21" s="7" t="s">
        <v>15</v>
      </c>
      <c r="D21" s="7" t="s">
        <v>22</v>
      </c>
      <c r="E21" s="7" t="s">
        <v>14</v>
      </c>
      <c r="F21" s="7">
        <v>40</v>
      </c>
      <c r="G21" s="7">
        <v>1206.82</v>
      </c>
      <c r="H21" s="8">
        <f t="shared" si="0"/>
        <v>48272.799999999996</v>
      </c>
      <c r="I21" s="8">
        <f>F21*G21*0.5</f>
        <v>24136.399999999998</v>
      </c>
      <c r="J21" s="8">
        <f t="shared" si="1"/>
        <v>24136.399999999998</v>
      </c>
      <c r="K21" s="9">
        <f t="shared" si="2"/>
        <v>0.5</v>
      </c>
    </row>
    <row r="22" spans="1:11">
      <c r="A22" s="2">
        <v>21</v>
      </c>
      <c r="B22" s="3" t="s">
        <v>27</v>
      </c>
      <c r="C22" s="3" t="s">
        <v>19</v>
      </c>
      <c r="D22" s="3" t="s">
        <v>22</v>
      </c>
      <c r="E22" s="3" t="s">
        <v>14</v>
      </c>
      <c r="F22" s="3">
        <v>17</v>
      </c>
      <c r="G22" s="3">
        <v>1343.36</v>
      </c>
      <c r="H22" s="4">
        <f t="shared" si="0"/>
        <v>22837.119999999999</v>
      </c>
      <c r="I22" s="4">
        <f>F22*G22*0.5</f>
        <v>11418.56</v>
      </c>
      <c r="J22" s="4">
        <f t="shared" si="1"/>
        <v>11418.56</v>
      </c>
      <c r="K22" s="5">
        <f t="shared" si="2"/>
        <v>0.5</v>
      </c>
    </row>
    <row r="23" spans="1:11">
      <c r="A23" s="6">
        <v>22</v>
      </c>
      <c r="B23" s="7" t="s">
        <v>27</v>
      </c>
      <c r="C23" s="7" t="s">
        <v>15</v>
      </c>
      <c r="D23" s="7" t="s">
        <v>20</v>
      </c>
      <c r="E23" s="7" t="s">
        <v>23</v>
      </c>
      <c r="F23" s="7">
        <v>8</v>
      </c>
      <c r="G23" s="7">
        <v>2999.24</v>
      </c>
      <c r="H23" s="8">
        <f t="shared" si="0"/>
        <v>23993.919999999998</v>
      </c>
      <c r="I23" s="8">
        <f>F23*G23*0.58</f>
        <v>13916.473599999998</v>
      </c>
      <c r="J23" s="8">
        <f t="shared" si="1"/>
        <v>10077.446400000001</v>
      </c>
      <c r="K23" s="9">
        <f t="shared" si="2"/>
        <v>0.42000000000000004</v>
      </c>
    </row>
    <row r="24" spans="1:11">
      <c r="A24" s="2">
        <v>23</v>
      </c>
      <c r="B24" s="3" t="s">
        <v>27</v>
      </c>
      <c r="C24" s="3" t="s">
        <v>26</v>
      </c>
      <c r="D24" s="3" t="s">
        <v>13</v>
      </c>
      <c r="E24" s="3" t="s">
        <v>17</v>
      </c>
      <c r="F24" s="3">
        <v>30</v>
      </c>
      <c r="G24" s="3">
        <v>4676.7700000000004</v>
      </c>
      <c r="H24" s="4">
        <f t="shared" si="0"/>
        <v>140303.1</v>
      </c>
      <c r="I24" s="4">
        <f>F24*G24*0.62</f>
        <v>86987.922000000006</v>
      </c>
      <c r="J24" s="4">
        <f t="shared" si="1"/>
        <v>53315.178</v>
      </c>
      <c r="K24" s="5">
        <f t="shared" si="2"/>
        <v>0.38</v>
      </c>
    </row>
    <row r="25" spans="1:11">
      <c r="A25" s="6">
        <v>24</v>
      </c>
      <c r="B25" s="7" t="s">
        <v>27</v>
      </c>
      <c r="C25" s="7" t="s">
        <v>19</v>
      </c>
      <c r="D25" s="7" t="s">
        <v>18</v>
      </c>
      <c r="E25" s="7" t="s">
        <v>25</v>
      </c>
      <c r="F25" s="7">
        <v>32</v>
      </c>
      <c r="G25" s="7">
        <v>666.78</v>
      </c>
      <c r="H25" s="8">
        <f t="shared" si="0"/>
        <v>21336.959999999999</v>
      </c>
      <c r="I25" s="8">
        <f>F25*G25*0.45</f>
        <v>9601.6319999999996</v>
      </c>
      <c r="J25" s="8">
        <f t="shared" si="1"/>
        <v>11735.328</v>
      </c>
      <c r="K25" s="9">
        <f t="shared" si="2"/>
        <v>0.55000000000000004</v>
      </c>
    </row>
    <row r="26" spans="1:11">
      <c r="A26" s="2">
        <v>25</v>
      </c>
      <c r="B26" s="3" t="s">
        <v>27</v>
      </c>
      <c r="C26" s="3" t="s">
        <v>12</v>
      </c>
      <c r="D26" s="3" t="s">
        <v>22</v>
      </c>
      <c r="E26" s="3" t="s">
        <v>16</v>
      </c>
      <c r="F26" s="3">
        <v>37</v>
      </c>
      <c r="G26" s="3">
        <v>1284.21</v>
      </c>
      <c r="H26" s="4">
        <f t="shared" si="0"/>
        <v>47515.770000000004</v>
      </c>
      <c r="I26" s="4">
        <f>F26*G26*0.5</f>
        <v>23757.885000000002</v>
      </c>
      <c r="J26" s="4">
        <f t="shared" si="1"/>
        <v>23757.885000000002</v>
      </c>
      <c r="K26" s="5">
        <f t="shared" si="2"/>
        <v>0.5</v>
      </c>
    </row>
    <row r="27" spans="1:11">
      <c r="A27" s="6">
        <v>26</v>
      </c>
      <c r="B27" s="7" t="s">
        <v>27</v>
      </c>
      <c r="C27" s="7" t="s">
        <v>12</v>
      </c>
      <c r="D27" s="7" t="s">
        <v>21</v>
      </c>
      <c r="E27" s="7" t="s">
        <v>14</v>
      </c>
      <c r="F27" s="7">
        <v>30</v>
      </c>
      <c r="G27" s="7">
        <v>1808.1</v>
      </c>
      <c r="H27" s="8">
        <f t="shared" si="0"/>
        <v>54243</v>
      </c>
      <c r="I27" s="8">
        <f>F27*G27*0.55</f>
        <v>29833.65</v>
      </c>
      <c r="J27" s="8">
        <f t="shared" si="1"/>
        <v>24409.35</v>
      </c>
      <c r="K27" s="9">
        <f t="shared" si="2"/>
        <v>0.44999999999999996</v>
      </c>
    </row>
    <row r="28" spans="1:11">
      <c r="A28" s="2">
        <v>27</v>
      </c>
      <c r="B28" s="3" t="s">
        <v>27</v>
      </c>
      <c r="C28" s="3" t="s">
        <v>24</v>
      </c>
      <c r="D28" s="3" t="s">
        <v>13</v>
      </c>
      <c r="E28" s="3" t="s">
        <v>25</v>
      </c>
      <c r="F28" s="3">
        <v>14</v>
      </c>
      <c r="G28" s="3">
        <v>4596.91</v>
      </c>
      <c r="H28" s="4">
        <f t="shared" si="0"/>
        <v>64356.74</v>
      </c>
      <c r="I28" s="4">
        <f>F28*G28*0.62</f>
        <v>39901.178800000002</v>
      </c>
      <c r="J28" s="4">
        <f t="shared" si="1"/>
        <v>24455.561199999996</v>
      </c>
      <c r="K28" s="5">
        <f t="shared" si="2"/>
        <v>0.37999999999999995</v>
      </c>
    </row>
    <row r="29" spans="1:11">
      <c r="A29" s="6">
        <v>28</v>
      </c>
      <c r="B29" s="7" t="s">
        <v>27</v>
      </c>
      <c r="C29" s="7" t="s">
        <v>24</v>
      </c>
      <c r="D29" s="7" t="s">
        <v>13</v>
      </c>
      <c r="E29" s="7" t="s">
        <v>25</v>
      </c>
      <c r="F29" s="7">
        <v>15</v>
      </c>
      <c r="G29" s="7">
        <v>4277.5600000000004</v>
      </c>
      <c r="H29" s="8">
        <f t="shared" si="0"/>
        <v>64163.400000000009</v>
      </c>
      <c r="I29" s="8">
        <f>F29*G29*0.62</f>
        <v>39781.308000000005</v>
      </c>
      <c r="J29" s="8">
        <f t="shared" si="1"/>
        <v>24382.092000000004</v>
      </c>
      <c r="K29" s="9">
        <f t="shared" si="2"/>
        <v>0.38</v>
      </c>
    </row>
    <row r="30" spans="1:11">
      <c r="A30" s="2">
        <v>29</v>
      </c>
      <c r="B30" s="3" t="s">
        <v>27</v>
      </c>
      <c r="C30" s="3" t="s">
        <v>15</v>
      </c>
      <c r="D30" s="3" t="s">
        <v>20</v>
      </c>
      <c r="E30" s="3" t="s">
        <v>25</v>
      </c>
      <c r="F30" s="3">
        <v>3</v>
      </c>
      <c r="G30" s="3">
        <v>2911.41</v>
      </c>
      <c r="H30" s="4">
        <f t="shared" si="0"/>
        <v>8734.23</v>
      </c>
      <c r="I30" s="4">
        <f>F30*G30*0.58</f>
        <v>5065.8533999999991</v>
      </c>
      <c r="J30" s="4">
        <f t="shared" si="1"/>
        <v>3668.3766000000005</v>
      </c>
      <c r="K30" s="5">
        <f t="shared" si="2"/>
        <v>0.4200000000000001</v>
      </c>
    </row>
    <row r="31" spans="1:11">
      <c r="A31" s="6">
        <v>30</v>
      </c>
      <c r="B31" s="7" t="s">
        <v>27</v>
      </c>
      <c r="C31" s="7" t="s">
        <v>12</v>
      </c>
      <c r="D31" s="7" t="s">
        <v>18</v>
      </c>
      <c r="E31" s="7" t="s">
        <v>16</v>
      </c>
      <c r="F31" s="7">
        <v>26</v>
      </c>
      <c r="G31" s="7">
        <v>712.23</v>
      </c>
      <c r="H31" s="8">
        <f t="shared" si="0"/>
        <v>18517.98</v>
      </c>
      <c r="I31" s="8">
        <f>F31*G31*0.45</f>
        <v>8333.0910000000003</v>
      </c>
      <c r="J31" s="8">
        <f t="shared" si="1"/>
        <v>10184.888999999999</v>
      </c>
      <c r="K31" s="9">
        <f t="shared" si="2"/>
        <v>0.54999999999999993</v>
      </c>
    </row>
    <row r="32" spans="1:11">
      <c r="A32" s="2">
        <v>31</v>
      </c>
      <c r="B32" s="3" t="s">
        <v>27</v>
      </c>
      <c r="C32" s="3" t="s">
        <v>26</v>
      </c>
      <c r="D32" s="3" t="s">
        <v>21</v>
      </c>
      <c r="E32" s="3" t="s">
        <v>16</v>
      </c>
      <c r="F32" s="3">
        <v>18</v>
      </c>
      <c r="G32" s="3">
        <v>2081.64</v>
      </c>
      <c r="H32" s="4">
        <f t="shared" si="0"/>
        <v>37469.519999999997</v>
      </c>
      <c r="I32" s="4">
        <f>F32*G32*0.55</f>
        <v>20608.236000000001</v>
      </c>
      <c r="J32" s="4">
        <f t="shared" si="1"/>
        <v>16861.283999999996</v>
      </c>
      <c r="K32" s="5">
        <f t="shared" si="2"/>
        <v>0.44999999999999996</v>
      </c>
    </row>
    <row r="33" spans="1:11">
      <c r="A33" s="6">
        <v>32</v>
      </c>
      <c r="B33" s="7" t="s">
        <v>27</v>
      </c>
      <c r="C33" s="7" t="s">
        <v>12</v>
      </c>
      <c r="D33" s="7" t="s">
        <v>13</v>
      </c>
      <c r="E33" s="7" t="s">
        <v>23</v>
      </c>
      <c r="F33" s="7">
        <v>7</v>
      </c>
      <c r="G33" s="7">
        <v>5020.1899999999996</v>
      </c>
      <c r="H33" s="8">
        <f t="shared" si="0"/>
        <v>35141.329999999994</v>
      </c>
      <c r="I33" s="8">
        <f>F33*G33*0.62</f>
        <v>21787.624599999996</v>
      </c>
      <c r="J33" s="8">
        <f t="shared" si="1"/>
        <v>13353.705399999999</v>
      </c>
      <c r="K33" s="9">
        <f t="shared" si="2"/>
        <v>0.38</v>
      </c>
    </row>
    <row r="34" spans="1:11">
      <c r="A34" s="2">
        <v>33</v>
      </c>
      <c r="B34" s="3" t="s">
        <v>27</v>
      </c>
      <c r="C34" s="3" t="s">
        <v>26</v>
      </c>
      <c r="D34" s="3" t="s">
        <v>22</v>
      </c>
      <c r="E34" s="3" t="s">
        <v>17</v>
      </c>
      <c r="F34" s="3">
        <v>33</v>
      </c>
      <c r="G34" s="3">
        <v>1331.24</v>
      </c>
      <c r="H34" s="4">
        <f t="shared" si="0"/>
        <v>43930.92</v>
      </c>
      <c r="I34" s="4">
        <f>F34*G34*0.5</f>
        <v>21965.46</v>
      </c>
      <c r="J34" s="4">
        <f t="shared" si="1"/>
        <v>21965.46</v>
      </c>
      <c r="K34" s="5">
        <f t="shared" si="2"/>
        <v>0.5</v>
      </c>
    </row>
    <row r="35" spans="1:11">
      <c r="A35" s="6">
        <v>34</v>
      </c>
      <c r="B35" s="7" t="s">
        <v>27</v>
      </c>
      <c r="C35" s="7" t="s">
        <v>24</v>
      </c>
      <c r="D35" s="7" t="s">
        <v>20</v>
      </c>
      <c r="E35" s="7" t="s">
        <v>25</v>
      </c>
      <c r="F35" s="7">
        <v>30</v>
      </c>
      <c r="G35" s="7">
        <v>3116.04</v>
      </c>
      <c r="H35" s="8">
        <f t="shared" si="0"/>
        <v>93481.2</v>
      </c>
      <c r="I35" s="8">
        <f>F35*G35*0.58</f>
        <v>54219.095999999998</v>
      </c>
      <c r="J35" s="8">
        <f t="shared" si="1"/>
        <v>39262.103999999999</v>
      </c>
      <c r="K35" s="9">
        <f t="shared" si="2"/>
        <v>0.42</v>
      </c>
    </row>
    <row r="36" spans="1:11">
      <c r="A36" s="2">
        <v>35</v>
      </c>
      <c r="B36" s="3" t="s">
        <v>27</v>
      </c>
      <c r="C36" s="3" t="s">
        <v>26</v>
      </c>
      <c r="D36" s="3" t="s">
        <v>22</v>
      </c>
      <c r="E36" s="3" t="s">
        <v>14</v>
      </c>
      <c r="F36" s="3">
        <v>28</v>
      </c>
      <c r="G36" s="3">
        <v>1342.84</v>
      </c>
      <c r="H36" s="4">
        <f t="shared" si="0"/>
        <v>37599.519999999997</v>
      </c>
      <c r="I36" s="4">
        <f>F36*G36*0.5</f>
        <v>18799.759999999998</v>
      </c>
      <c r="J36" s="4">
        <f t="shared" si="1"/>
        <v>18799.759999999998</v>
      </c>
      <c r="K36" s="5">
        <f t="shared" si="2"/>
        <v>0.5</v>
      </c>
    </row>
    <row r="37" spans="1:11">
      <c r="A37" s="6">
        <v>36</v>
      </c>
      <c r="B37" s="7" t="s">
        <v>27</v>
      </c>
      <c r="C37" s="7" t="s">
        <v>19</v>
      </c>
      <c r="D37" s="7" t="s">
        <v>21</v>
      </c>
      <c r="E37" s="7" t="s">
        <v>25</v>
      </c>
      <c r="F37" s="7">
        <v>31</v>
      </c>
      <c r="G37" s="7">
        <v>1793.98</v>
      </c>
      <c r="H37" s="8">
        <f t="shared" si="0"/>
        <v>55613.38</v>
      </c>
      <c r="I37" s="8">
        <f>F37*G37*0.55</f>
        <v>30587.359</v>
      </c>
      <c r="J37" s="8">
        <f t="shared" si="1"/>
        <v>25026.020999999997</v>
      </c>
      <c r="K37" s="9">
        <f t="shared" si="2"/>
        <v>0.44999999999999996</v>
      </c>
    </row>
    <row r="38" spans="1:11">
      <c r="A38" s="2">
        <v>37</v>
      </c>
      <c r="B38" s="3" t="s">
        <v>28</v>
      </c>
      <c r="C38" s="3" t="s">
        <v>12</v>
      </c>
      <c r="D38" s="3" t="s">
        <v>20</v>
      </c>
      <c r="E38" s="3" t="s">
        <v>14</v>
      </c>
      <c r="F38" s="3">
        <v>4</v>
      </c>
      <c r="G38" s="3">
        <v>2905.45</v>
      </c>
      <c r="H38" s="4">
        <f t="shared" si="0"/>
        <v>11621.8</v>
      </c>
      <c r="I38" s="4">
        <f>F38*G38*0.58</f>
        <v>6740.6439999999993</v>
      </c>
      <c r="J38" s="4">
        <f t="shared" si="1"/>
        <v>4881.1559999999999</v>
      </c>
      <c r="K38" s="5">
        <f t="shared" si="2"/>
        <v>0.42000000000000004</v>
      </c>
    </row>
    <row r="39" spans="1:11">
      <c r="A39" s="6">
        <v>38</v>
      </c>
      <c r="B39" s="7" t="s">
        <v>28</v>
      </c>
      <c r="C39" s="7" t="s">
        <v>15</v>
      </c>
      <c r="D39" s="7" t="s">
        <v>20</v>
      </c>
      <c r="E39" s="7" t="s">
        <v>17</v>
      </c>
      <c r="F39" s="7">
        <v>3</v>
      </c>
      <c r="G39" s="7">
        <v>2615.7600000000002</v>
      </c>
      <c r="H39" s="8">
        <f t="shared" si="0"/>
        <v>7847.2800000000007</v>
      </c>
      <c r="I39" s="8">
        <f>F39*G39*0.58</f>
        <v>4551.4224000000004</v>
      </c>
      <c r="J39" s="8">
        <f t="shared" si="1"/>
        <v>3295.8576000000003</v>
      </c>
      <c r="K39" s="9">
        <f t="shared" si="2"/>
        <v>0.42</v>
      </c>
    </row>
    <row r="40" spans="1:11">
      <c r="A40" s="2">
        <v>39</v>
      </c>
      <c r="B40" s="3" t="s">
        <v>28</v>
      </c>
      <c r="C40" s="3" t="s">
        <v>26</v>
      </c>
      <c r="D40" s="3" t="s">
        <v>13</v>
      </c>
      <c r="E40" s="3" t="s">
        <v>16</v>
      </c>
      <c r="F40" s="3">
        <v>5</v>
      </c>
      <c r="G40" s="3">
        <v>4913.67</v>
      </c>
      <c r="H40" s="4">
        <f t="shared" si="0"/>
        <v>24568.35</v>
      </c>
      <c r="I40" s="4">
        <f>F40*G40*0.62</f>
        <v>15232.376999999999</v>
      </c>
      <c r="J40" s="4">
        <f t="shared" si="1"/>
        <v>9335.973</v>
      </c>
      <c r="K40" s="5">
        <f t="shared" si="2"/>
        <v>0.38</v>
      </c>
    </row>
    <row r="41" spans="1:11">
      <c r="A41" s="6">
        <v>40</v>
      </c>
      <c r="B41" s="7" t="s">
        <v>28</v>
      </c>
      <c r="C41" s="7" t="s">
        <v>15</v>
      </c>
      <c r="D41" s="7" t="s">
        <v>13</v>
      </c>
      <c r="E41" s="7" t="s">
        <v>17</v>
      </c>
      <c r="F41" s="7">
        <v>20</v>
      </c>
      <c r="G41" s="7">
        <v>4742.08</v>
      </c>
      <c r="H41" s="8">
        <f t="shared" si="0"/>
        <v>94841.600000000006</v>
      </c>
      <c r="I41" s="8">
        <f>F41*G41*0.62</f>
        <v>58801.792000000001</v>
      </c>
      <c r="J41" s="8">
        <f t="shared" si="1"/>
        <v>36039.808000000005</v>
      </c>
      <c r="K41" s="9">
        <f t="shared" si="2"/>
        <v>0.38</v>
      </c>
    </row>
    <row r="42" spans="1:11">
      <c r="A42" s="2">
        <v>41</v>
      </c>
      <c r="B42" s="3" t="s">
        <v>28</v>
      </c>
      <c r="C42" s="3" t="s">
        <v>15</v>
      </c>
      <c r="D42" s="3" t="s">
        <v>20</v>
      </c>
      <c r="E42" s="3" t="s">
        <v>17</v>
      </c>
      <c r="F42" s="3">
        <v>39</v>
      </c>
      <c r="G42" s="3">
        <v>2898.68</v>
      </c>
      <c r="H42" s="4">
        <f t="shared" si="0"/>
        <v>113048.51999999999</v>
      </c>
      <c r="I42" s="4">
        <f>F42*G42*0.58</f>
        <v>65568.141599999988</v>
      </c>
      <c r="J42" s="4">
        <f t="shared" si="1"/>
        <v>47480.378400000001</v>
      </c>
      <c r="K42" s="5">
        <f t="shared" si="2"/>
        <v>0.42000000000000004</v>
      </c>
    </row>
    <row r="43" spans="1:11">
      <c r="A43" s="6">
        <v>42</v>
      </c>
      <c r="B43" s="7" t="s">
        <v>28</v>
      </c>
      <c r="C43" s="7" t="s">
        <v>19</v>
      </c>
      <c r="D43" s="7" t="s">
        <v>20</v>
      </c>
      <c r="E43" s="7" t="s">
        <v>23</v>
      </c>
      <c r="F43" s="7">
        <v>15</v>
      </c>
      <c r="G43" s="7">
        <v>2628.82</v>
      </c>
      <c r="H43" s="8">
        <f t="shared" si="0"/>
        <v>39432.300000000003</v>
      </c>
      <c r="I43" s="8">
        <f>F43*G43*0.58</f>
        <v>22870.734</v>
      </c>
      <c r="J43" s="8">
        <f t="shared" si="1"/>
        <v>16561.566000000003</v>
      </c>
      <c r="K43" s="9">
        <f t="shared" si="2"/>
        <v>0.42000000000000004</v>
      </c>
    </row>
    <row r="44" spans="1:11">
      <c r="A44" s="2">
        <v>43</v>
      </c>
      <c r="B44" s="3" t="s">
        <v>28</v>
      </c>
      <c r="C44" s="3" t="s">
        <v>24</v>
      </c>
      <c r="D44" s="3" t="s">
        <v>18</v>
      </c>
      <c r="E44" s="3" t="s">
        <v>23</v>
      </c>
      <c r="F44" s="3">
        <v>29</v>
      </c>
      <c r="G44" s="3">
        <v>658.71</v>
      </c>
      <c r="H44" s="4">
        <f t="shared" si="0"/>
        <v>19102.59</v>
      </c>
      <c r="I44" s="4">
        <f>F44*G44*0.45</f>
        <v>8596.165500000001</v>
      </c>
      <c r="J44" s="4">
        <f t="shared" si="1"/>
        <v>10506.424499999999</v>
      </c>
      <c r="K44" s="5">
        <f t="shared" si="2"/>
        <v>0.54999999999999993</v>
      </c>
    </row>
    <row r="45" spans="1:11">
      <c r="A45" s="6">
        <v>44</v>
      </c>
      <c r="B45" s="7" t="s">
        <v>28</v>
      </c>
      <c r="C45" s="7" t="s">
        <v>12</v>
      </c>
      <c r="D45" s="7" t="s">
        <v>13</v>
      </c>
      <c r="E45" s="7" t="s">
        <v>16</v>
      </c>
      <c r="F45" s="7">
        <v>28</v>
      </c>
      <c r="G45" s="7">
        <v>4795.3900000000003</v>
      </c>
      <c r="H45" s="8">
        <f t="shared" si="0"/>
        <v>134270.92000000001</v>
      </c>
      <c r="I45" s="8">
        <f>F45*G45*0.62</f>
        <v>83247.970400000006</v>
      </c>
      <c r="J45" s="8">
        <f t="shared" si="1"/>
        <v>51022.949600000007</v>
      </c>
      <c r="K45" s="9">
        <f t="shared" si="2"/>
        <v>0.38</v>
      </c>
    </row>
    <row r="46" spans="1:11">
      <c r="A46" s="2">
        <v>45</v>
      </c>
      <c r="B46" s="3" t="s">
        <v>28</v>
      </c>
      <c r="C46" s="3" t="s">
        <v>26</v>
      </c>
      <c r="D46" s="3" t="s">
        <v>13</v>
      </c>
      <c r="E46" s="3" t="s">
        <v>17</v>
      </c>
      <c r="F46" s="3">
        <v>15</v>
      </c>
      <c r="G46" s="3">
        <v>4622.66</v>
      </c>
      <c r="H46" s="4">
        <f t="shared" si="0"/>
        <v>69339.899999999994</v>
      </c>
      <c r="I46" s="4">
        <f>F46*G46*0.62</f>
        <v>42990.737999999998</v>
      </c>
      <c r="J46" s="4">
        <f t="shared" si="1"/>
        <v>26349.161999999997</v>
      </c>
      <c r="K46" s="5">
        <f t="shared" si="2"/>
        <v>0.38</v>
      </c>
    </row>
    <row r="47" spans="1:11">
      <c r="A47" s="6">
        <v>46</v>
      </c>
      <c r="B47" s="7" t="s">
        <v>28</v>
      </c>
      <c r="C47" s="7" t="s">
        <v>19</v>
      </c>
      <c r="D47" s="7" t="s">
        <v>20</v>
      </c>
      <c r="E47" s="7" t="s">
        <v>17</v>
      </c>
      <c r="F47" s="7">
        <v>20</v>
      </c>
      <c r="G47" s="7">
        <v>2835.07</v>
      </c>
      <c r="H47" s="8">
        <f t="shared" si="0"/>
        <v>56701.4</v>
      </c>
      <c r="I47" s="8">
        <f>F47*G47*0.58</f>
        <v>32886.811999999998</v>
      </c>
      <c r="J47" s="8">
        <f t="shared" si="1"/>
        <v>23814.588000000003</v>
      </c>
      <c r="K47" s="9">
        <f t="shared" si="2"/>
        <v>0.42000000000000004</v>
      </c>
    </row>
    <row r="48" spans="1:11">
      <c r="A48" s="2">
        <v>47</v>
      </c>
      <c r="B48" s="3" t="s">
        <v>28</v>
      </c>
      <c r="C48" s="3" t="s">
        <v>19</v>
      </c>
      <c r="D48" s="3" t="s">
        <v>13</v>
      </c>
      <c r="E48" s="3" t="s">
        <v>25</v>
      </c>
      <c r="F48" s="3">
        <v>9</v>
      </c>
      <c r="G48" s="3">
        <v>4185.53</v>
      </c>
      <c r="H48" s="4">
        <f t="shared" si="0"/>
        <v>37669.769999999997</v>
      </c>
      <c r="I48" s="4">
        <f>F48*G48*0.62</f>
        <v>23355.257399999999</v>
      </c>
      <c r="J48" s="4">
        <f t="shared" si="1"/>
        <v>14314.512599999998</v>
      </c>
      <c r="K48" s="5">
        <f t="shared" si="2"/>
        <v>0.38</v>
      </c>
    </row>
    <row r="49" spans="1:11">
      <c r="A49" s="6">
        <v>48</v>
      </c>
      <c r="B49" s="7" t="s">
        <v>28</v>
      </c>
      <c r="C49" s="7" t="s">
        <v>12</v>
      </c>
      <c r="D49" s="7" t="s">
        <v>22</v>
      </c>
      <c r="E49" s="7" t="s">
        <v>16</v>
      </c>
      <c r="F49" s="7">
        <v>18</v>
      </c>
      <c r="G49" s="7">
        <v>1143.9100000000001</v>
      </c>
      <c r="H49" s="8">
        <f t="shared" si="0"/>
        <v>20590.38</v>
      </c>
      <c r="I49" s="8">
        <f>F49*G49*0.5</f>
        <v>10295.19</v>
      </c>
      <c r="J49" s="8">
        <f t="shared" si="1"/>
        <v>10295.19</v>
      </c>
      <c r="K49" s="9">
        <f t="shared" si="2"/>
        <v>0.5</v>
      </c>
    </row>
    <row r="50" spans="1:11">
      <c r="A50" s="2">
        <v>49</v>
      </c>
      <c r="B50" s="3" t="s">
        <v>28</v>
      </c>
      <c r="C50" s="3" t="s">
        <v>19</v>
      </c>
      <c r="D50" s="3" t="s">
        <v>18</v>
      </c>
      <c r="E50" s="3" t="s">
        <v>17</v>
      </c>
      <c r="F50" s="3">
        <v>28</v>
      </c>
      <c r="G50" s="3">
        <v>715.32</v>
      </c>
      <c r="H50" s="4">
        <f t="shared" si="0"/>
        <v>20028.960000000003</v>
      </c>
      <c r="I50" s="4">
        <f>F50*G50*0.45</f>
        <v>9013.0320000000011</v>
      </c>
      <c r="J50" s="4">
        <f t="shared" si="1"/>
        <v>11015.928000000002</v>
      </c>
      <c r="K50" s="5">
        <f t="shared" si="2"/>
        <v>0.55000000000000004</v>
      </c>
    </row>
    <row r="51" spans="1:11">
      <c r="A51" s="6">
        <v>50</v>
      </c>
      <c r="B51" s="7" t="s">
        <v>28</v>
      </c>
      <c r="C51" s="7" t="s">
        <v>19</v>
      </c>
      <c r="D51" s="7" t="s">
        <v>20</v>
      </c>
      <c r="E51" s="7" t="s">
        <v>16</v>
      </c>
      <c r="F51" s="7">
        <v>27</v>
      </c>
      <c r="G51" s="7">
        <v>2724.51</v>
      </c>
      <c r="H51" s="8">
        <f t="shared" si="0"/>
        <v>73561.77</v>
      </c>
      <c r="I51" s="8">
        <f>F51*G51*0.58</f>
        <v>42665.8266</v>
      </c>
      <c r="J51" s="8">
        <f t="shared" si="1"/>
        <v>30895.943400000004</v>
      </c>
      <c r="K51" s="9">
        <f t="shared" si="2"/>
        <v>0.42000000000000004</v>
      </c>
    </row>
    <row r="52" spans="1:11">
      <c r="A52" s="2">
        <v>51</v>
      </c>
      <c r="B52" s="3" t="s">
        <v>28</v>
      </c>
      <c r="C52" s="3" t="s">
        <v>24</v>
      </c>
      <c r="D52" s="3" t="s">
        <v>18</v>
      </c>
      <c r="E52" s="3" t="s">
        <v>23</v>
      </c>
      <c r="F52" s="3">
        <v>38</v>
      </c>
      <c r="G52" s="3">
        <v>684.04</v>
      </c>
      <c r="H52" s="4">
        <f t="shared" si="0"/>
        <v>25993.519999999997</v>
      </c>
      <c r="I52" s="4">
        <f>F52*G52*0.45</f>
        <v>11697.083999999999</v>
      </c>
      <c r="J52" s="4">
        <f t="shared" si="1"/>
        <v>14296.435999999998</v>
      </c>
      <c r="K52" s="5">
        <f t="shared" si="2"/>
        <v>0.54999999999999993</v>
      </c>
    </row>
    <row r="53" spans="1:11">
      <c r="A53" s="6">
        <v>52</v>
      </c>
      <c r="B53" s="7" t="s">
        <v>28</v>
      </c>
      <c r="C53" s="7" t="s">
        <v>26</v>
      </c>
      <c r="D53" s="7" t="s">
        <v>18</v>
      </c>
      <c r="E53" s="7" t="s">
        <v>17</v>
      </c>
      <c r="F53" s="7">
        <v>21</v>
      </c>
      <c r="G53" s="7">
        <v>626.29999999999995</v>
      </c>
      <c r="H53" s="8">
        <f t="shared" si="0"/>
        <v>13152.3</v>
      </c>
      <c r="I53" s="8">
        <f>F53*G53*0.45</f>
        <v>5918.5349999999999</v>
      </c>
      <c r="J53" s="8">
        <f t="shared" si="1"/>
        <v>7233.7649999999994</v>
      </c>
      <c r="K53" s="9">
        <f t="shared" si="2"/>
        <v>0.54999999999999993</v>
      </c>
    </row>
    <row r="54" spans="1:11">
      <c r="A54" s="2">
        <v>53</v>
      </c>
      <c r="B54" s="3" t="s">
        <v>28</v>
      </c>
      <c r="C54" s="3" t="s">
        <v>15</v>
      </c>
      <c r="D54" s="3" t="s">
        <v>13</v>
      </c>
      <c r="E54" s="3" t="s">
        <v>25</v>
      </c>
      <c r="F54" s="3">
        <v>6</v>
      </c>
      <c r="G54" s="3">
        <v>4813.18</v>
      </c>
      <c r="H54" s="4">
        <f t="shared" si="0"/>
        <v>28879.08</v>
      </c>
      <c r="I54" s="4">
        <f>F54*G54*0.62</f>
        <v>17905.029600000002</v>
      </c>
      <c r="J54" s="4">
        <f t="shared" si="1"/>
        <v>10974.0504</v>
      </c>
      <c r="K54" s="5">
        <f t="shared" si="2"/>
        <v>0.38</v>
      </c>
    </row>
    <row r="55" spans="1:11">
      <c r="A55" s="6">
        <v>54</v>
      </c>
      <c r="B55" s="7" t="s">
        <v>28</v>
      </c>
      <c r="C55" s="7" t="s">
        <v>12</v>
      </c>
      <c r="D55" s="7" t="s">
        <v>13</v>
      </c>
      <c r="E55" s="7" t="s">
        <v>25</v>
      </c>
      <c r="F55" s="7">
        <v>33</v>
      </c>
      <c r="G55" s="7">
        <v>4592.57</v>
      </c>
      <c r="H55" s="8">
        <f t="shared" si="0"/>
        <v>151554.81</v>
      </c>
      <c r="I55" s="8">
        <f>F55*G55*0.62</f>
        <v>93963.982199999999</v>
      </c>
      <c r="J55" s="8">
        <f t="shared" si="1"/>
        <v>57590.827799999999</v>
      </c>
      <c r="K55" s="9">
        <f t="shared" si="2"/>
        <v>0.38</v>
      </c>
    </row>
    <row r="56" spans="1:11">
      <c r="A56" s="2">
        <v>55</v>
      </c>
      <c r="B56" s="3" t="s">
        <v>29</v>
      </c>
      <c r="C56" s="3" t="s">
        <v>26</v>
      </c>
      <c r="D56" s="3" t="s">
        <v>22</v>
      </c>
      <c r="E56" s="3" t="s">
        <v>16</v>
      </c>
      <c r="F56" s="3">
        <v>35</v>
      </c>
      <c r="G56" s="3">
        <v>1123.23</v>
      </c>
      <c r="H56" s="4">
        <f t="shared" si="0"/>
        <v>39313.050000000003</v>
      </c>
      <c r="I56" s="4">
        <f>F56*G56*0.5</f>
        <v>19656.525000000001</v>
      </c>
      <c r="J56" s="4">
        <f t="shared" si="1"/>
        <v>19656.525000000001</v>
      </c>
      <c r="K56" s="5">
        <f t="shared" si="2"/>
        <v>0.5</v>
      </c>
    </row>
    <row r="57" spans="1:11">
      <c r="A57" s="6">
        <v>56</v>
      </c>
      <c r="B57" s="7" t="s">
        <v>29</v>
      </c>
      <c r="C57" s="7" t="s">
        <v>12</v>
      </c>
      <c r="D57" s="7" t="s">
        <v>20</v>
      </c>
      <c r="E57" s="7" t="s">
        <v>25</v>
      </c>
      <c r="F57" s="7">
        <v>7</v>
      </c>
      <c r="G57" s="7">
        <v>2954.12</v>
      </c>
      <c r="H57" s="8">
        <f t="shared" si="0"/>
        <v>20678.84</v>
      </c>
      <c r="I57" s="8">
        <f>F57*G57*0.58</f>
        <v>11993.727199999999</v>
      </c>
      <c r="J57" s="8">
        <f t="shared" si="1"/>
        <v>8685.1128000000008</v>
      </c>
      <c r="K57" s="9">
        <f t="shared" si="2"/>
        <v>0.42000000000000004</v>
      </c>
    </row>
    <row r="58" spans="1:11">
      <c r="A58" s="2">
        <v>57</v>
      </c>
      <c r="B58" s="3" t="s">
        <v>29</v>
      </c>
      <c r="C58" s="3" t="s">
        <v>19</v>
      </c>
      <c r="D58" s="3" t="s">
        <v>20</v>
      </c>
      <c r="E58" s="3" t="s">
        <v>16</v>
      </c>
      <c r="F58" s="3">
        <v>39</v>
      </c>
      <c r="G58" s="3">
        <v>2713.88</v>
      </c>
      <c r="H58" s="4">
        <f t="shared" si="0"/>
        <v>105841.32</v>
      </c>
      <c r="I58" s="4">
        <f>F58*G58*0.58</f>
        <v>61387.965600000003</v>
      </c>
      <c r="J58" s="4">
        <f t="shared" si="1"/>
        <v>44453.354400000004</v>
      </c>
      <c r="K58" s="5">
        <f t="shared" si="2"/>
        <v>0.42</v>
      </c>
    </row>
    <row r="59" spans="1:11">
      <c r="A59" s="6">
        <v>58</v>
      </c>
      <c r="B59" s="7" t="s">
        <v>29</v>
      </c>
      <c r="C59" s="7" t="s">
        <v>12</v>
      </c>
      <c r="D59" s="7" t="s">
        <v>22</v>
      </c>
      <c r="E59" s="7" t="s">
        <v>25</v>
      </c>
      <c r="F59" s="7">
        <v>8</v>
      </c>
      <c r="G59" s="7">
        <v>1204.6099999999999</v>
      </c>
      <c r="H59" s="8">
        <f t="shared" si="0"/>
        <v>9636.8799999999992</v>
      </c>
      <c r="I59" s="8">
        <f>F59*G59*0.5</f>
        <v>4818.4399999999996</v>
      </c>
      <c r="J59" s="8">
        <f t="shared" si="1"/>
        <v>4818.4399999999996</v>
      </c>
      <c r="K59" s="9">
        <f t="shared" si="2"/>
        <v>0.5</v>
      </c>
    </row>
    <row r="60" spans="1:11">
      <c r="A60" s="2">
        <v>59</v>
      </c>
      <c r="B60" s="3" t="s">
        <v>29</v>
      </c>
      <c r="C60" s="3" t="s">
        <v>15</v>
      </c>
      <c r="D60" s="3" t="s">
        <v>22</v>
      </c>
      <c r="E60" s="3" t="s">
        <v>25</v>
      </c>
      <c r="F60" s="3">
        <v>23</v>
      </c>
      <c r="G60" s="3">
        <v>1328.33</v>
      </c>
      <c r="H60" s="4">
        <f t="shared" si="0"/>
        <v>30551.589999999997</v>
      </c>
      <c r="I60" s="4">
        <f>F60*G60*0.5</f>
        <v>15275.794999999998</v>
      </c>
      <c r="J60" s="4">
        <f t="shared" si="1"/>
        <v>15275.794999999998</v>
      </c>
      <c r="K60" s="5">
        <f t="shared" si="2"/>
        <v>0.5</v>
      </c>
    </row>
    <row r="61" spans="1:11">
      <c r="A61" s="6">
        <v>60</v>
      </c>
      <c r="B61" s="7" t="s">
        <v>29</v>
      </c>
      <c r="C61" s="7" t="s">
        <v>24</v>
      </c>
      <c r="D61" s="7" t="s">
        <v>20</v>
      </c>
      <c r="E61" s="7" t="s">
        <v>17</v>
      </c>
      <c r="F61" s="7">
        <v>19</v>
      </c>
      <c r="G61" s="7">
        <v>2797.64</v>
      </c>
      <c r="H61" s="8">
        <f t="shared" si="0"/>
        <v>53155.159999999996</v>
      </c>
      <c r="I61" s="8">
        <f>F61*G61*0.58</f>
        <v>30829.992799999996</v>
      </c>
      <c r="J61" s="8">
        <f t="shared" si="1"/>
        <v>22325.1672</v>
      </c>
      <c r="K61" s="9">
        <f t="shared" si="2"/>
        <v>0.42000000000000004</v>
      </c>
    </row>
    <row r="62" spans="1:11">
      <c r="A62" s="2">
        <v>61</v>
      </c>
      <c r="B62" s="3" t="s">
        <v>29</v>
      </c>
      <c r="C62" s="3" t="s">
        <v>19</v>
      </c>
      <c r="D62" s="3" t="s">
        <v>21</v>
      </c>
      <c r="E62" s="3" t="s">
        <v>14</v>
      </c>
      <c r="F62" s="3">
        <v>7</v>
      </c>
      <c r="G62" s="3">
        <v>1751.54</v>
      </c>
      <c r="H62" s="4">
        <f t="shared" si="0"/>
        <v>12260.779999999999</v>
      </c>
      <c r="I62" s="4">
        <f>F62*G62*0.55</f>
        <v>6743.4290000000001</v>
      </c>
      <c r="J62" s="4">
        <f t="shared" si="1"/>
        <v>5517.3509999999987</v>
      </c>
      <c r="K62" s="5">
        <f t="shared" si="2"/>
        <v>0.44999999999999996</v>
      </c>
    </row>
    <row r="63" spans="1:11">
      <c r="A63" s="6">
        <v>62</v>
      </c>
      <c r="B63" s="7" t="s">
        <v>29</v>
      </c>
      <c r="C63" s="7" t="s">
        <v>15</v>
      </c>
      <c r="D63" s="7" t="s">
        <v>22</v>
      </c>
      <c r="E63" s="7" t="s">
        <v>16</v>
      </c>
      <c r="F63" s="7">
        <v>7</v>
      </c>
      <c r="G63" s="7">
        <v>1233.03</v>
      </c>
      <c r="H63" s="8">
        <f t="shared" si="0"/>
        <v>8631.2099999999991</v>
      </c>
      <c r="I63" s="8">
        <f>F63*G63*0.5</f>
        <v>4315.6049999999996</v>
      </c>
      <c r="J63" s="8">
        <f t="shared" si="1"/>
        <v>4315.6049999999996</v>
      </c>
      <c r="K63" s="9">
        <f t="shared" si="2"/>
        <v>0.5</v>
      </c>
    </row>
    <row r="64" spans="1:11">
      <c r="A64" s="2">
        <v>63</v>
      </c>
      <c r="B64" s="3" t="s">
        <v>29</v>
      </c>
      <c r="C64" s="3" t="s">
        <v>24</v>
      </c>
      <c r="D64" s="3" t="s">
        <v>22</v>
      </c>
      <c r="E64" s="3" t="s">
        <v>17</v>
      </c>
      <c r="F64" s="3">
        <v>25</v>
      </c>
      <c r="G64" s="3">
        <v>1315.41</v>
      </c>
      <c r="H64" s="4">
        <f t="shared" si="0"/>
        <v>32885.25</v>
      </c>
      <c r="I64" s="4">
        <f>F64*G64*0.5</f>
        <v>16442.625</v>
      </c>
      <c r="J64" s="4">
        <f t="shared" si="1"/>
        <v>16442.625</v>
      </c>
      <c r="K64" s="5">
        <f t="shared" si="2"/>
        <v>0.5</v>
      </c>
    </row>
    <row r="65" spans="1:11">
      <c r="A65" s="6">
        <v>64</v>
      </c>
      <c r="B65" s="7" t="s">
        <v>29</v>
      </c>
      <c r="C65" s="7" t="s">
        <v>24</v>
      </c>
      <c r="D65" s="7" t="s">
        <v>20</v>
      </c>
      <c r="E65" s="7" t="s">
        <v>14</v>
      </c>
      <c r="F65" s="7">
        <v>13</v>
      </c>
      <c r="G65" s="7">
        <v>2821.38</v>
      </c>
      <c r="H65" s="8">
        <f t="shared" si="0"/>
        <v>36677.94</v>
      </c>
      <c r="I65" s="8">
        <f>F65*G65*0.58</f>
        <v>21273.2052</v>
      </c>
      <c r="J65" s="8">
        <f t="shared" si="1"/>
        <v>15404.734800000002</v>
      </c>
      <c r="K65" s="9">
        <f t="shared" si="2"/>
        <v>0.42000000000000004</v>
      </c>
    </row>
    <row r="66" spans="1:11">
      <c r="A66" s="2">
        <v>65</v>
      </c>
      <c r="B66" s="3" t="s">
        <v>29</v>
      </c>
      <c r="C66" s="3" t="s">
        <v>24</v>
      </c>
      <c r="D66" s="3" t="s">
        <v>22</v>
      </c>
      <c r="E66" s="3" t="s">
        <v>25</v>
      </c>
      <c r="F66" s="3">
        <v>36</v>
      </c>
      <c r="G66" s="3">
        <v>1105.8800000000001</v>
      </c>
      <c r="H66" s="4">
        <f t="shared" ref="H66:H129" si="3">F66*G66</f>
        <v>39811.680000000008</v>
      </c>
      <c r="I66" s="4">
        <f>F66*G66*0.5</f>
        <v>19905.840000000004</v>
      </c>
      <c r="J66" s="4">
        <f t="shared" ref="J66:J129" si="4">H66-I66</f>
        <v>19905.840000000004</v>
      </c>
      <c r="K66" s="5">
        <f t="shared" ref="K66:K129" si="5">IF(H66=0,0,J66/H66)</f>
        <v>0.5</v>
      </c>
    </row>
    <row r="67" spans="1:11">
      <c r="A67" s="6">
        <v>66</v>
      </c>
      <c r="B67" s="7" t="s">
        <v>29</v>
      </c>
      <c r="C67" s="7" t="s">
        <v>24</v>
      </c>
      <c r="D67" s="7" t="s">
        <v>22</v>
      </c>
      <c r="E67" s="7" t="s">
        <v>16</v>
      </c>
      <c r="F67" s="7">
        <v>11</v>
      </c>
      <c r="G67" s="7">
        <v>1167.47</v>
      </c>
      <c r="H67" s="8">
        <f t="shared" si="3"/>
        <v>12842.17</v>
      </c>
      <c r="I67" s="8">
        <f>F67*G67*0.5</f>
        <v>6421.085</v>
      </c>
      <c r="J67" s="8">
        <f t="shared" si="4"/>
        <v>6421.085</v>
      </c>
      <c r="K67" s="9">
        <f t="shared" si="5"/>
        <v>0.5</v>
      </c>
    </row>
    <row r="68" spans="1:11">
      <c r="A68" s="2">
        <v>67</v>
      </c>
      <c r="B68" s="3" t="s">
        <v>29</v>
      </c>
      <c r="C68" s="3" t="s">
        <v>15</v>
      </c>
      <c r="D68" s="3" t="s">
        <v>13</v>
      </c>
      <c r="E68" s="3" t="s">
        <v>17</v>
      </c>
      <c r="F68" s="3">
        <v>20</v>
      </c>
      <c r="G68" s="3">
        <v>4393.58</v>
      </c>
      <c r="H68" s="4">
        <f t="shared" si="3"/>
        <v>87871.6</v>
      </c>
      <c r="I68" s="4">
        <f>F68*G68*0.62</f>
        <v>54480.392</v>
      </c>
      <c r="J68" s="4">
        <f t="shared" si="4"/>
        <v>33391.208000000006</v>
      </c>
      <c r="K68" s="5">
        <f t="shared" si="5"/>
        <v>0.38000000000000006</v>
      </c>
    </row>
    <row r="69" spans="1:11">
      <c r="A69" s="6">
        <v>68</v>
      </c>
      <c r="B69" s="7" t="s">
        <v>29</v>
      </c>
      <c r="C69" s="7" t="s">
        <v>24</v>
      </c>
      <c r="D69" s="7" t="s">
        <v>20</v>
      </c>
      <c r="E69" s="7" t="s">
        <v>17</v>
      </c>
      <c r="F69" s="7">
        <v>19</v>
      </c>
      <c r="G69" s="7">
        <v>2859.03</v>
      </c>
      <c r="H69" s="8">
        <f t="shared" si="3"/>
        <v>54321.570000000007</v>
      </c>
      <c r="I69" s="8">
        <f>F69*G69*0.58</f>
        <v>31506.510600000001</v>
      </c>
      <c r="J69" s="8">
        <f t="shared" si="4"/>
        <v>22815.059400000006</v>
      </c>
      <c r="K69" s="9">
        <f t="shared" si="5"/>
        <v>0.42000000000000004</v>
      </c>
    </row>
    <row r="70" spans="1:11">
      <c r="A70" s="2">
        <v>69</v>
      </c>
      <c r="B70" s="3" t="s">
        <v>29</v>
      </c>
      <c r="C70" s="3" t="s">
        <v>12</v>
      </c>
      <c r="D70" s="3" t="s">
        <v>21</v>
      </c>
      <c r="E70" s="3" t="s">
        <v>16</v>
      </c>
      <c r="F70" s="3">
        <v>30</v>
      </c>
      <c r="G70" s="3">
        <v>2063.15</v>
      </c>
      <c r="H70" s="4">
        <f t="shared" si="3"/>
        <v>61894.5</v>
      </c>
      <c r="I70" s="4">
        <f>F70*G70*0.55</f>
        <v>34041.975000000006</v>
      </c>
      <c r="J70" s="4">
        <f t="shared" si="4"/>
        <v>27852.524999999994</v>
      </c>
      <c r="K70" s="5">
        <f t="shared" si="5"/>
        <v>0.4499999999999999</v>
      </c>
    </row>
    <row r="71" spans="1:11">
      <c r="A71" s="6">
        <v>70</v>
      </c>
      <c r="B71" s="7" t="s">
        <v>29</v>
      </c>
      <c r="C71" s="7" t="s">
        <v>12</v>
      </c>
      <c r="D71" s="7" t="s">
        <v>13</v>
      </c>
      <c r="E71" s="7" t="s">
        <v>14</v>
      </c>
      <c r="F71" s="7">
        <v>11</v>
      </c>
      <c r="G71" s="7">
        <v>4713.3999999999996</v>
      </c>
      <c r="H71" s="8">
        <f t="shared" si="3"/>
        <v>51847.399999999994</v>
      </c>
      <c r="I71" s="8">
        <f>F71*G71*0.62</f>
        <v>32145.387999999995</v>
      </c>
      <c r="J71" s="8">
        <f t="shared" si="4"/>
        <v>19702.011999999999</v>
      </c>
      <c r="K71" s="9">
        <f t="shared" si="5"/>
        <v>0.38</v>
      </c>
    </row>
    <row r="72" spans="1:11">
      <c r="A72" s="2">
        <v>71</v>
      </c>
      <c r="B72" s="3" t="s">
        <v>29</v>
      </c>
      <c r="C72" s="3" t="s">
        <v>26</v>
      </c>
      <c r="D72" s="3" t="s">
        <v>21</v>
      </c>
      <c r="E72" s="3" t="s">
        <v>23</v>
      </c>
      <c r="F72" s="3">
        <v>38</v>
      </c>
      <c r="G72" s="3">
        <v>2016.15</v>
      </c>
      <c r="H72" s="4">
        <f t="shared" si="3"/>
        <v>76613.7</v>
      </c>
      <c r="I72" s="4">
        <f>F72*G72*0.55</f>
        <v>42137.535000000003</v>
      </c>
      <c r="J72" s="4">
        <f t="shared" si="4"/>
        <v>34476.164999999994</v>
      </c>
      <c r="K72" s="5">
        <f t="shared" si="5"/>
        <v>0.44999999999999996</v>
      </c>
    </row>
    <row r="73" spans="1:11">
      <c r="A73" s="6">
        <v>72</v>
      </c>
      <c r="B73" s="7" t="s">
        <v>29</v>
      </c>
      <c r="C73" s="7" t="s">
        <v>12</v>
      </c>
      <c r="D73" s="7" t="s">
        <v>22</v>
      </c>
      <c r="E73" s="7" t="s">
        <v>16</v>
      </c>
      <c r="F73" s="7">
        <v>7</v>
      </c>
      <c r="G73" s="7">
        <v>1330.81</v>
      </c>
      <c r="H73" s="8">
        <f t="shared" si="3"/>
        <v>9315.67</v>
      </c>
      <c r="I73" s="8">
        <f>F73*G73*0.5</f>
        <v>4657.835</v>
      </c>
      <c r="J73" s="8">
        <f t="shared" si="4"/>
        <v>4657.835</v>
      </c>
      <c r="K73" s="9">
        <f t="shared" si="5"/>
        <v>0.5</v>
      </c>
    </row>
    <row r="74" spans="1:11">
      <c r="A74" s="2">
        <v>73</v>
      </c>
      <c r="B74" s="3" t="s">
        <v>30</v>
      </c>
      <c r="C74" s="3" t="s">
        <v>15</v>
      </c>
      <c r="D74" s="3" t="s">
        <v>20</v>
      </c>
      <c r="E74" s="3" t="s">
        <v>16</v>
      </c>
      <c r="F74" s="3">
        <v>26</v>
      </c>
      <c r="G74" s="3">
        <v>2902.21</v>
      </c>
      <c r="H74" s="4">
        <f t="shared" si="3"/>
        <v>75457.460000000006</v>
      </c>
      <c r="I74" s="4">
        <f>F74*G74*0.58</f>
        <v>43765.326800000003</v>
      </c>
      <c r="J74" s="4">
        <f t="shared" si="4"/>
        <v>31692.133200000004</v>
      </c>
      <c r="K74" s="5">
        <f t="shared" si="5"/>
        <v>0.42000000000000004</v>
      </c>
    </row>
    <row r="75" spans="1:11">
      <c r="A75" s="6">
        <v>74</v>
      </c>
      <c r="B75" s="7" t="s">
        <v>30</v>
      </c>
      <c r="C75" s="7" t="s">
        <v>19</v>
      </c>
      <c r="D75" s="7" t="s">
        <v>20</v>
      </c>
      <c r="E75" s="7" t="s">
        <v>17</v>
      </c>
      <c r="F75" s="7">
        <v>5</v>
      </c>
      <c r="G75" s="7">
        <v>2748.62</v>
      </c>
      <c r="H75" s="8">
        <f t="shared" si="3"/>
        <v>13743.099999999999</v>
      </c>
      <c r="I75" s="8">
        <f>F75*G75*0.58</f>
        <v>7970.9979999999987</v>
      </c>
      <c r="J75" s="8">
        <f t="shared" si="4"/>
        <v>5772.1019999999999</v>
      </c>
      <c r="K75" s="9">
        <f t="shared" si="5"/>
        <v>0.42000000000000004</v>
      </c>
    </row>
    <row r="76" spans="1:11">
      <c r="A76" s="2">
        <v>75</v>
      </c>
      <c r="B76" s="3" t="s">
        <v>30</v>
      </c>
      <c r="C76" s="3" t="s">
        <v>24</v>
      </c>
      <c r="D76" s="3" t="s">
        <v>13</v>
      </c>
      <c r="E76" s="3" t="s">
        <v>17</v>
      </c>
      <c r="F76" s="3">
        <v>18</v>
      </c>
      <c r="G76" s="3">
        <v>4740.24</v>
      </c>
      <c r="H76" s="4">
        <f t="shared" si="3"/>
        <v>85324.319999999992</v>
      </c>
      <c r="I76" s="4">
        <f>F76*G76*0.62</f>
        <v>52901.078399999999</v>
      </c>
      <c r="J76" s="4">
        <f t="shared" si="4"/>
        <v>32423.241599999994</v>
      </c>
      <c r="K76" s="5">
        <f t="shared" si="5"/>
        <v>0.37999999999999995</v>
      </c>
    </row>
    <row r="77" spans="1:11">
      <c r="A77" s="6">
        <v>76</v>
      </c>
      <c r="B77" s="7" t="s">
        <v>30</v>
      </c>
      <c r="C77" s="7" t="s">
        <v>15</v>
      </c>
      <c r="D77" s="7" t="s">
        <v>21</v>
      </c>
      <c r="E77" s="7" t="s">
        <v>23</v>
      </c>
      <c r="F77" s="7">
        <v>12</v>
      </c>
      <c r="G77" s="7">
        <v>2099.79</v>
      </c>
      <c r="H77" s="8">
        <f t="shared" si="3"/>
        <v>25197.48</v>
      </c>
      <c r="I77" s="8">
        <f>F77*G77*0.55</f>
        <v>13858.614000000001</v>
      </c>
      <c r="J77" s="8">
        <f t="shared" si="4"/>
        <v>11338.865999999998</v>
      </c>
      <c r="K77" s="9">
        <f t="shared" si="5"/>
        <v>0.44999999999999996</v>
      </c>
    </row>
    <row r="78" spans="1:11">
      <c r="A78" s="2">
        <v>77</v>
      </c>
      <c r="B78" s="3" t="s">
        <v>30</v>
      </c>
      <c r="C78" s="3" t="s">
        <v>26</v>
      </c>
      <c r="D78" s="3" t="s">
        <v>20</v>
      </c>
      <c r="E78" s="3" t="s">
        <v>17</v>
      </c>
      <c r="F78" s="3">
        <v>29</v>
      </c>
      <c r="G78" s="3">
        <v>2589.88</v>
      </c>
      <c r="H78" s="4">
        <f t="shared" si="3"/>
        <v>75106.52</v>
      </c>
      <c r="I78" s="4">
        <f>F78*G78*0.58</f>
        <v>43561.781600000002</v>
      </c>
      <c r="J78" s="4">
        <f t="shared" si="4"/>
        <v>31544.738400000002</v>
      </c>
      <c r="K78" s="5">
        <f t="shared" si="5"/>
        <v>0.42</v>
      </c>
    </row>
    <row r="79" spans="1:11">
      <c r="A79" s="6">
        <v>78</v>
      </c>
      <c r="B79" s="7" t="s">
        <v>30</v>
      </c>
      <c r="C79" s="7" t="s">
        <v>19</v>
      </c>
      <c r="D79" s="7" t="s">
        <v>21</v>
      </c>
      <c r="E79" s="7" t="s">
        <v>17</v>
      </c>
      <c r="F79" s="7">
        <v>20</v>
      </c>
      <c r="G79" s="7">
        <v>1808.5</v>
      </c>
      <c r="H79" s="8">
        <f t="shared" si="3"/>
        <v>36170</v>
      </c>
      <c r="I79" s="8">
        <f>F79*G79*0.55</f>
        <v>19893.5</v>
      </c>
      <c r="J79" s="8">
        <f t="shared" si="4"/>
        <v>16276.5</v>
      </c>
      <c r="K79" s="9">
        <f t="shared" si="5"/>
        <v>0.45</v>
      </c>
    </row>
    <row r="80" spans="1:11">
      <c r="A80" s="2">
        <v>79</v>
      </c>
      <c r="B80" s="3" t="s">
        <v>30</v>
      </c>
      <c r="C80" s="3" t="s">
        <v>19</v>
      </c>
      <c r="D80" s="3" t="s">
        <v>13</v>
      </c>
      <c r="E80" s="3" t="s">
        <v>16</v>
      </c>
      <c r="F80" s="3">
        <v>33</v>
      </c>
      <c r="G80" s="3">
        <v>4340.1899999999996</v>
      </c>
      <c r="H80" s="4">
        <f t="shared" si="3"/>
        <v>143226.26999999999</v>
      </c>
      <c r="I80" s="4">
        <f>F80*G80*0.62</f>
        <v>88800.287399999987</v>
      </c>
      <c r="J80" s="4">
        <f t="shared" si="4"/>
        <v>54425.982600000003</v>
      </c>
      <c r="K80" s="5">
        <f t="shared" si="5"/>
        <v>0.38000000000000006</v>
      </c>
    </row>
    <row r="81" spans="1:11">
      <c r="A81" s="6">
        <v>80</v>
      </c>
      <c r="B81" s="7" t="s">
        <v>30</v>
      </c>
      <c r="C81" s="7" t="s">
        <v>24</v>
      </c>
      <c r="D81" s="7" t="s">
        <v>18</v>
      </c>
      <c r="E81" s="7" t="s">
        <v>14</v>
      </c>
      <c r="F81" s="7">
        <v>17</v>
      </c>
      <c r="G81" s="7">
        <v>626.98</v>
      </c>
      <c r="H81" s="8">
        <f t="shared" si="3"/>
        <v>10658.66</v>
      </c>
      <c r="I81" s="8">
        <f>F81*G81*0.45</f>
        <v>4796.3969999999999</v>
      </c>
      <c r="J81" s="8">
        <f t="shared" si="4"/>
        <v>5862.2629999999999</v>
      </c>
      <c r="K81" s="9">
        <f t="shared" si="5"/>
        <v>0.55000000000000004</v>
      </c>
    </row>
    <row r="82" spans="1:11">
      <c r="A82" s="2">
        <v>81</v>
      </c>
      <c r="B82" s="3" t="s">
        <v>30</v>
      </c>
      <c r="C82" s="3" t="s">
        <v>19</v>
      </c>
      <c r="D82" s="3" t="s">
        <v>20</v>
      </c>
      <c r="E82" s="3" t="s">
        <v>14</v>
      </c>
      <c r="F82" s="3">
        <v>20</v>
      </c>
      <c r="G82" s="3">
        <v>3060.04</v>
      </c>
      <c r="H82" s="4">
        <f t="shared" si="3"/>
        <v>61200.800000000003</v>
      </c>
      <c r="I82" s="4">
        <f>F82*G82*0.58</f>
        <v>35496.464</v>
      </c>
      <c r="J82" s="4">
        <f t="shared" si="4"/>
        <v>25704.336000000003</v>
      </c>
      <c r="K82" s="5">
        <f t="shared" si="5"/>
        <v>0.42000000000000004</v>
      </c>
    </row>
    <row r="83" spans="1:11">
      <c r="A83" s="6">
        <v>82</v>
      </c>
      <c r="B83" s="7" t="s">
        <v>30</v>
      </c>
      <c r="C83" s="7" t="s">
        <v>24</v>
      </c>
      <c r="D83" s="7" t="s">
        <v>21</v>
      </c>
      <c r="E83" s="7" t="s">
        <v>25</v>
      </c>
      <c r="F83" s="7">
        <v>28</v>
      </c>
      <c r="G83" s="7">
        <v>2006.22</v>
      </c>
      <c r="H83" s="8">
        <f t="shared" si="3"/>
        <v>56174.16</v>
      </c>
      <c r="I83" s="8">
        <f>F83*G83*0.55</f>
        <v>30895.788000000004</v>
      </c>
      <c r="J83" s="8">
        <f t="shared" si="4"/>
        <v>25278.371999999999</v>
      </c>
      <c r="K83" s="9">
        <f t="shared" si="5"/>
        <v>0.44999999999999996</v>
      </c>
    </row>
    <row r="84" spans="1:11">
      <c r="A84" s="2">
        <v>83</v>
      </c>
      <c r="B84" s="3" t="s">
        <v>30</v>
      </c>
      <c r="C84" s="3" t="s">
        <v>24</v>
      </c>
      <c r="D84" s="3" t="s">
        <v>22</v>
      </c>
      <c r="E84" s="3" t="s">
        <v>16</v>
      </c>
      <c r="F84" s="3">
        <v>10</v>
      </c>
      <c r="G84" s="3">
        <v>1314.49</v>
      </c>
      <c r="H84" s="4">
        <f t="shared" si="3"/>
        <v>13144.9</v>
      </c>
      <c r="I84" s="4">
        <f>F84*G84*0.5</f>
        <v>6572.45</v>
      </c>
      <c r="J84" s="4">
        <f t="shared" si="4"/>
        <v>6572.45</v>
      </c>
      <c r="K84" s="5">
        <f t="shared" si="5"/>
        <v>0.5</v>
      </c>
    </row>
    <row r="85" spans="1:11">
      <c r="A85" s="6">
        <v>84</v>
      </c>
      <c r="B85" s="7" t="s">
        <v>30</v>
      </c>
      <c r="C85" s="7" t="s">
        <v>26</v>
      </c>
      <c r="D85" s="7" t="s">
        <v>21</v>
      </c>
      <c r="E85" s="7" t="s">
        <v>25</v>
      </c>
      <c r="F85" s="7">
        <v>19</v>
      </c>
      <c r="G85" s="7">
        <v>1762.54</v>
      </c>
      <c r="H85" s="8">
        <f t="shared" si="3"/>
        <v>33488.26</v>
      </c>
      <c r="I85" s="8">
        <f>F85*G85*0.55</f>
        <v>18418.543000000001</v>
      </c>
      <c r="J85" s="8">
        <f t="shared" si="4"/>
        <v>15069.717000000001</v>
      </c>
      <c r="K85" s="9">
        <f t="shared" si="5"/>
        <v>0.45</v>
      </c>
    </row>
    <row r="86" spans="1:11">
      <c r="A86" s="2">
        <v>85</v>
      </c>
      <c r="B86" s="3" t="s">
        <v>30</v>
      </c>
      <c r="C86" s="3" t="s">
        <v>19</v>
      </c>
      <c r="D86" s="3" t="s">
        <v>22</v>
      </c>
      <c r="E86" s="3" t="s">
        <v>14</v>
      </c>
      <c r="F86" s="3">
        <v>23</v>
      </c>
      <c r="G86" s="3">
        <v>1208.73</v>
      </c>
      <c r="H86" s="4">
        <f t="shared" si="3"/>
        <v>27800.79</v>
      </c>
      <c r="I86" s="4">
        <f>F86*G86*0.5</f>
        <v>13900.395</v>
      </c>
      <c r="J86" s="4">
        <f t="shared" si="4"/>
        <v>13900.395</v>
      </c>
      <c r="K86" s="5">
        <f t="shared" si="5"/>
        <v>0.5</v>
      </c>
    </row>
    <row r="87" spans="1:11">
      <c r="A87" s="6">
        <v>86</v>
      </c>
      <c r="B87" s="7" t="s">
        <v>30</v>
      </c>
      <c r="C87" s="7" t="s">
        <v>12</v>
      </c>
      <c r="D87" s="7" t="s">
        <v>22</v>
      </c>
      <c r="E87" s="7" t="s">
        <v>23</v>
      </c>
      <c r="F87" s="7">
        <v>39</v>
      </c>
      <c r="G87" s="7">
        <v>1149.6199999999999</v>
      </c>
      <c r="H87" s="8">
        <f t="shared" si="3"/>
        <v>44835.179999999993</v>
      </c>
      <c r="I87" s="8">
        <f>F87*G87*0.5</f>
        <v>22417.589999999997</v>
      </c>
      <c r="J87" s="8">
        <f t="shared" si="4"/>
        <v>22417.589999999997</v>
      </c>
      <c r="K87" s="9">
        <f t="shared" si="5"/>
        <v>0.5</v>
      </c>
    </row>
    <row r="88" spans="1:11">
      <c r="A88" s="2">
        <v>87</v>
      </c>
      <c r="B88" s="3" t="s">
        <v>30</v>
      </c>
      <c r="C88" s="3" t="s">
        <v>19</v>
      </c>
      <c r="D88" s="3" t="s">
        <v>13</v>
      </c>
      <c r="E88" s="3" t="s">
        <v>16</v>
      </c>
      <c r="F88" s="3">
        <v>36</v>
      </c>
      <c r="G88" s="3">
        <v>4973.0200000000004</v>
      </c>
      <c r="H88" s="4">
        <f t="shared" si="3"/>
        <v>179028.72000000003</v>
      </c>
      <c r="I88" s="4">
        <f>F88*G88*0.62</f>
        <v>110997.80640000002</v>
      </c>
      <c r="J88" s="4">
        <f t="shared" si="4"/>
        <v>68030.913600000014</v>
      </c>
      <c r="K88" s="5">
        <f t="shared" si="5"/>
        <v>0.38</v>
      </c>
    </row>
    <row r="89" spans="1:11">
      <c r="A89" s="6">
        <v>88</v>
      </c>
      <c r="B89" s="7" t="s">
        <v>30</v>
      </c>
      <c r="C89" s="7" t="s">
        <v>26</v>
      </c>
      <c r="D89" s="7" t="s">
        <v>22</v>
      </c>
      <c r="E89" s="7" t="s">
        <v>14</v>
      </c>
      <c r="F89" s="7">
        <v>30</v>
      </c>
      <c r="G89" s="7">
        <v>1120.79</v>
      </c>
      <c r="H89" s="8">
        <f t="shared" si="3"/>
        <v>33623.699999999997</v>
      </c>
      <c r="I89" s="8">
        <f>F89*G89*0.5</f>
        <v>16811.849999999999</v>
      </c>
      <c r="J89" s="8">
        <f t="shared" si="4"/>
        <v>16811.849999999999</v>
      </c>
      <c r="K89" s="9">
        <f t="shared" si="5"/>
        <v>0.5</v>
      </c>
    </row>
    <row r="90" spans="1:11">
      <c r="A90" s="2">
        <v>89</v>
      </c>
      <c r="B90" s="3" t="s">
        <v>30</v>
      </c>
      <c r="C90" s="3" t="s">
        <v>15</v>
      </c>
      <c r="D90" s="3" t="s">
        <v>21</v>
      </c>
      <c r="E90" s="3" t="s">
        <v>14</v>
      </c>
      <c r="F90" s="3">
        <v>10</v>
      </c>
      <c r="G90" s="3">
        <v>2021.51</v>
      </c>
      <c r="H90" s="4">
        <f t="shared" si="3"/>
        <v>20215.099999999999</v>
      </c>
      <c r="I90" s="4">
        <f>F90*G90*0.55</f>
        <v>11118.305</v>
      </c>
      <c r="J90" s="4">
        <f t="shared" si="4"/>
        <v>9096.7949999999983</v>
      </c>
      <c r="K90" s="5">
        <f t="shared" si="5"/>
        <v>0.44999999999999996</v>
      </c>
    </row>
    <row r="91" spans="1:11">
      <c r="A91" s="6">
        <v>90</v>
      </c>
      <c r="B91" s="7" t="s">
        <v>30</v>
      </c>
      <c r="C91" s="7" t="s">
        <v>15</v>
      </c>
      <c r="D91" s="7" t="s">
        <v>21</v>
      </c>
      <c r="E91" s="7" t="s">
        <v>14</v>
      </c>
      <c r="F91" s="7">
        <v>29</v>
      </c>
      <c r="G91" s="7">
        <v>1871.95</v>
      </c>
      <c r="H91" s="8">
        <f t="shared" si="3"/>
        <v>54286.55</v>
      </c>
      <c r="I91" s="8">
        <f>F91*G91*0.55</f>
        <v>29857.602500000005</v>
      </c>
      <c r="J91" s="8">
        <f t="shared" si="4"/>
        <v>24428.947499999998</v>
      </c>
      <c r="K91" s="9">
        <f t="shared" si="5"/>
        <v>0.44999999999999996</v>
      </c>
    </row>
    <row r="92" spans="1:11">
      <c r="A92" s="2">
        <v>91</v>
      </c>
      <c r="B92" s="3" t="s">
        <v>31</v>
      </c>
      <c r="C92" s="3" t="s">
        <v>15</v>
      </c>
      <c r="D92" s="3" t="s">
        <v>21</v>
      </c>
      <c r="E92" s="3" t="s">
        <v>17</v>
      </c>
      <c r="F92" s="3">
        <v>15</v>
      </c>
      <c r="G92" s="3">
        <v>1907.77</v>
      </c>
      <c r="H92" s="4">
        <f t="shared" si="3"/>
        <v>28616.55</v>
      </c>
      <c r="I92" s="4">
        <f>F92*G92*0.55</f>
        <v>15739.102500000001</v>
      </c>
      <c r="J92" s="4">
        <f t="shared" si="4"/>
        <v>12877.447499999998</v>
      </c>
      <c r="K92" s="5">
        <f t="shared" si="5"/>
        <v>0.44999999999999996</v>
      </c>
    </row>
    <row r="93" spans="1:11">
      <c r="A93" s="6">
        <v>92</v>
      </c>
      <c r="B93" s="7" t="s">
        <v>31</v>
      </c>
      <c r="C93" s="7" t="s">
        <v>26</v>
      </c>
      <c r="D93" s="7" t="s">
        <v>18</v>
      </c>
      <c r="E93" s="7" t="s">
        <v>25</v>
      </c>
      <c r="F93" s="7">
        <v>39</v>
      </c>
      <c r="G93" s="7">
        <v>637.12</v>
      </c>
      <c r="H93" s="8">
        <f t="shared" si="3"/>
        <v>24847.68</v>
      </c>
      <c r="I93" s="8">
        <f>F93*G93*0.45</f>
        <v>11181.456</v>
      </c>
      <c r="J93" s="8">
        <f t="shared" si="4"/>
        <v>13666.224</v>
      </c>
      <c r="K93" s="9">
        <f t="shared" si="5"/>
        <v>0.55000000000000004</v>
      </c>
    </row>
    <row r="94" spans="1:11">
      <c r="A94" s="2">
        <v>93</v>
      </c>
      <c r="B94" s="3" t="s">
        <v>31</v>
      </c>
      <c r="C94" s="3" t="s">
        <v>12</v>
      </c>
      <c r="D94" s="3" t="s">
        <v>22</v>
      </c>
      <c r="E94" s="3" t="s">
        <v>14</v>
      </c>
      <c r="F94" s="3">
        <v>21</v>
      </c>
      <c r="G94" s="3">
        <v>1154.44</v>
      </c>
      <c r="H94" s="4">
        <f t="shared" si="3"/>
        <v>24243.24</v>
      </c>
      <c r="I94" s="4">
        <f>F94*G94*0.5</f>
        <v>12121.62</v>
      </c>
      <c r="J94" s="4">
        <f t="shared" si="4"/>
        <v>12121.62</v>
      </c>
      <c r="K94" s="5">
        <f t="shared" si="5"/>
        <v>0.5</v>
      </c>
    </row>
    <row r="95" spans="1:11">
      <c r="A95" s="6">
        <v>94</v>
      </c>
      <c r="B95" s="7" t="s">
        <v>31</v>
      </c>
      <c r="C95" s="7" t="s">
        <v>15</v>
      </c>
      <c r="D95" s="7" t="s">
        <v>22</v>
      </c>
      <c r="E95" s="7" t="s">
        <v>14</v>
      </c>
      <c r="F95" s="7">
        <v>32</v>
      </c>
      <c r="G95" s="7">
        <v>1210.03</v>
      </c>
      <c r="H95" s="8">
        <f t="shared" si="3"/>
        <v>38720.959999999999</v>
      </c>
      <c r="I95" s="8">
        <f>F95*G95*0.5</f>
        <v>19360.48</v>
      </c>
      <c r="J95" s="8">
        <f t="shared" si="4"/>
        <v>19360.48</v>
      </c>
      <c r="K95" s="9">
        <f t="shared" si="5"/>
        <v>0.5</v>
      </c>
    </row>
    <row r="96" spans="1:11">
      <c r="A96" s="2">
        <v>95</v>
      </c>
      <c r="B96" s="3" t="s">
        <v>31</v>
      </c>
      <c r="C96" s="3" t="s">
        <v>15</v>
      </c>
      <c r="D96" s="3" t="s">
        <v>20</v>
      </c>
      <c r="E96" s="3" t="s">
        <v>23</v>
      </c>
      <c r="F96" s="3">
        <v>13</v>
      </c>
      <c r="G96" s="3">
        <v>2944.96</v>
      </c>
      <c r="H96" s="4">
        <f t="shared" si="3"/>
        <v>38284.480000000003</v>
      </c>
      <c r="I96" s="4">
        <f>F96*G96*0.58</f>
        <v>22204.9984</v>
      </c>
      <c r="J96" s="4">
        <f t="shared" si="4"/>
        <v>16079.481600000003</v>
      </c>
      <c r="K96" s="5">
        <f t="shared" si="5"/>
        <v>0.42000000000000004</v>
      </c>
    </row>
    <row r="97" spans="1:11">
      <c r="A97" s="6">
        <v>96</v>
      </c>
      <c r="B97" s="7" t="s">
        <v>31</v>
      </c>
      <c r="C97" s="7" t="s">
        <v>15</v>
      </c>
      <c r="D97" s="7" t="s">
        <v>21</v>
      </c>
      <c r="E97" s="7" t="s">
        <v>25</v>
      </c>
      <c r="F97" s="7">
        <v>24</v>
      </c>
      <c r="G97" s="7">
        <v>1783.49</v>
      </c>
      <c r="H97" s="8">
        <f t="shared" si="3"/>
        <v>42803.76</v>
      </c>
      <c r="I97" s="8">
        <f>F97*G97*0.55</f>
        <v>23542.068000000003</v>
      </c>
      <c r="J97" s="8">
        <f t="shared" si="4"/>
        <v>19261.691999999999</v>
      </c>
      <c r="K97" s="9">
        <f t="shared" si="5"/>
        <v>0.44999999999999996</v>
      </c>
    </row>
    <row r="98" spans="1:11">
      <c r="A98" s="2">
        <v>97</v>
      </c>
      <c r="B98" s="3" t="s">
        <v>31</v>
      </c>
      <c r="C98" s="3" t="s">
        <v>24</v>
      </c>
      <c r="D98" s="3" t="s">
        <v>20</v>
      </c>
      <c r="E98" s="3" t="s">
        <v>17</v>
      </c>
      <c r="F98" s="3">
        <v>15</v>
      </c>
      <c r="G98" s="3">
        <v>2658.52</v>
      </c>
      <c r="H98" s="4">
        <f t="shared" si="3"/>
        <v>39877.800000000003</v>
      </c>
      <c r="I98" s="4">
        <f>F98*G98*0.58</f>
        <v>23129.124</v>
      </c>
      <c r="J98" s="4">
        <f t="shared" si="4"/>
        <v>16748.676000000003</v>
      </c>
      <c r="K98" s="5">
        <f t="shared" si="5"/>
        <v>0.42000000000000004</v>
      </c>
    </row>
    <row r="99" spans="1:11">
      <c r="A99" s="6">
        <v>98</v>
      </c>
      <c r="B99" s="7" t="s">
        <v>31</v>
      </c>
      <c r="C99" s="7" t="s">
        <v>26</v>
      </c>
      <c r="D99" s="7" t="s">
        <v>13</v>
      </c>
      <c r="E99" s="7" t="s">
        <v>23</v>
      </c>
      <c r="F99" s="7">
        <v>7</v>
      </c>
      <c r="G99" s="7">
        <v>4549.87</v>
      </c>
      <c r="H99" s="8">
        <f t="shared" si="3"/>
        <v>31849.09</v>
      </c>
      <c r="I99" s="8">
        <f>F99*G99*0.62</f>
        <v>19746.435799999999</v>
      </c>
      <c r="J99" s="8">
        <f t="shared" si="4"/>
        <v>12102.654200000001</v>
      </c>
      <c r="K99" s="9">
        <f t="shared" si="5"/>
        <v>0.38</v>
      </c>
    </row>
    <row r="100" spans="1:11">
      <c r="A100" s="2">
        <v>99</v>
      </c>
      <c r="B100" s="3" t="s">
        <v>31</v>
      </c>
      <c r="C100" s="3" t="s">
        <v>26</v>
      </c>
      <c r="D100" s="3" t="s">
        <v>22</v>
      </c>
      <c r="E100" s="3" t="s">
        <v>23</v>
      </c>
      <c r="F100" s="3">
        <v>34</v>
      </c>
      <c r="G100" s="3">
        <v>1199.92</v>
      </c>
      <c r="H100" s="4">
        <f t="shared" si="3"/>
        <v>40797.279999999999</v>
      </c>
      <c r="I100" s="4">
        <f>F100*G100*0.5</f>
        <v>20398.64</v>
      </c>
      <c r="J100" s="4">
        <f t="shared" si="4"/>
        <v>20398.64</v>
      </c>
      <c r="K100" s="5">
        <f t="shared" si="5"/>
        <v>0.5</v>
      </c>
    </row>
    <row r="101" spans="1:11">
      <c r="A101" s="6">
        <v>100</v>
      </c>
      <c r="B101" s="7" t="s">
        <v>31</v>
      </c>
      <c r="C101" s="7" t="s">
        <v>12</v>
      </c>
      <c r="D101" s="7" t="s">
        <v>20</v>
      </c>
      <c r="E101" s="7" t="s">
        <v>16</v>
      </c>
      <c r="F101" s="7">
        <v>30</v>
      </c>
      <c r="G101" s="7">
        <v>2698.55</v>
      </c>
      <c r="H101" s="8">
        <f t="shared" si="3"/>
        <v>80956.5</v>
      </c>
      <c r="I101" s="8">
        <f>F101*G101*0.58</f>
        <v>46954.77</v>
      </c>
      <c r="J101" s="8">
        <f t="shared" si="4"/>
        <v>34001.730000000003</v>
      </c>
      <c r="K101" s="9">
        <f t="shared" si="5"/>
        <v>0.42000000000000004</v>
      </c>
    </row>
    <row r="102" spans="1:11">
      <c r="A102" s="2">
        <v>101</v>
      </c>
      <c r="B102" s="3" t="s">
        <v>31</v>
      </c>
      <c r="C102" s="3" t="s">
        <v>19</v>
      </c>
      <c r="D102" s="3" t="s">
        <v>22</v>
      </c>
      <c r="E102" s="3" t="s">
        <v>16</v>
      </c>
      <c r="F102" s="3">
        <v>38</v>
      </c>
      <c r="G102" s="3">
        <v>1163.81</v>
      </c>
      <c r="H102" s="4">
        <f t="shared" si="3"/>
        <v>44224.78</v>
      </c>
      <c r="I102" s="4">
        <f>F102*G102*0.5</f>
        <v>22112.39</v>
      </c>
      <c r="J102" s="4">
        <f t="shared" si="4"/>
        <v>22112.39</v>
      </c>
      <c r="K102" s="5">
        <f t="shared" si="5"/>
        <v>0.5</v>
      </c>
    </row>
    <row r="103" spans="1:11">
      <c r="A103" s="6">
        <v>102</v>
      </c>
      <c r="B103" s="7" t="s">
        <v>31</v>
      </c>
      <c r="C103" s="7" t="s">
        <v>19</v>
      </c>
      <c r="D103" s="7" t="s">
        <v>13</v>
      </c>
      <c r="E103" s="7" t="s">
        <v>17</v>
      </c>
      <c r="F103" s="7">
        <v>32</v>
      </c>
      <c r="G103" s="7">
        <v>4740.82</v>
      </c>
      <c r="H103" s="8">
        <f t="shared" si="3"/>
        <v>151706.23999999999</v>
      </c>
      <c r="I103" s="8">
        <f>F103*G103*0.62</f>
        <v>94057.868799999997</v>
      </c>
      <c r="J103" s="8">
        <f t="shared" si="4"/>
        <v>57648.371199999994</v>
      </c>
      <c r="K103" s="9">
        <f t="shared" si="5"/>
        <v>0.38</v>
      </c>
    </row>
    <row r="104" spans="1:11">
      <c r="A104" s="2">
        <v>103</v>
      </c>
      <c r="B104" s="3" t="s">
        <v>31</v>
      </c>
      <c r="C104" s="3" t="s">
        <v>15</v>
      </c>
      <c r="D104" s="3" t="s">
        <v>22</v>
      </c>
      <c r="E104" s="3" t="s">
        <v>14</v>
      </c>
      <c r="F104" s="3">
        <v>31</v>
      </c>
      <c r="G104" s="3">
        <v>1251.04</v>
      </c>
      <c r="H104" s="4">
        <f t="shared" si="3"/>
        <v>38782.239999999998</v>
      </c>
      <c r="I104" s="4">
        <f>F104*G104*0.5</f>
        <v>19391.12</v>
      </c>
      <c r="J104" s="4">
        <f t="shared" si="4"/>
        <v>19391.12</v>
      </c>
      <c r="K104" s="5">
        <f t="shared" si="5"/>
        <v>0.5</v>
      </c>
    </row>
    <row r="105" spans="1:11">
      <c r="A105" s="6">
        <v>104</v>
      </c>
      <c r="B105" s="7" t="s">
        <v>31</v>
      </c>
      <c r="C105" s="7" t="s">
        <v>19</v>
      </c>
      <c r="D105" s="7" t="s">
        <v>22</v>
      </c>
      <c r="E105" s="7" t="s">
        <v>25</v>
      </c>
      <c r="F105" s="7">
        <v>31</v>
      </c>
      <c r="G105" s="7">
        <v>1319.33</v>
      </c>
      <c r="H105" s="8">
        <f t="shared" si="3"/>
        <v>40899.229999999996</v>
      </c>
      <c r="I105" s="8">
        <f>F105*G105*0.5</f>
        <v>20449.614999999998</v>
      </c>
      <c r="J105" s="8">
        <f t="shared" si="4"/>
        <v>20449.614999999998</v>
      </c>
      <c r="K105" s="9">
        <f t="shared" si="5"/>
        <v>0.5</v>
      </c>
    </row>
    <row r="106" spans="1:11">
      <c r="A106" s="2">
        <v>105</v>
      </c>
      <c r="B106" s="3" t="s">
        <v>31</v>
      </c>
      <c r="C106" s="3" t="s">
        <v>19</v>
      </c>
      <c r="D106" s="3" t="s">
        <v>18</v>
      </c>
      <c r="E106" s="3" t="s">
        <v>14</v>
      </c>
      <c r="F106" s="3">
        <v>18</v>
      </c>
      <c r="G106" s="3">
        <v>707.18</v>
      </c>
      <c r="H106" s="4">
        <f t="shared" si="3"/>
        <v>12729.24</v>
      </c>
      <c r="I106" s="4">
        <f>F106*G106*0.45</f>
        <v>5728.1580000000004</v>
      </c>
      <c r="J106" s="4">
        <f t="shared" si="4"/>
        <v>7001.0819999999994</v>
      </c>
      <c r="K106" s="5">
        <f t="shared" si="5"/>
        <v>0.54999999999999993</v>
      </c>
    </row>
    <row r="107" spans="1:11">
      <c r="A107" s="6">
        <v>106</v>
      </c>
      <c r="B107" s="7" t="s">
        <v>31</v>
      </c>
      <c r="C107" s="7" t="s">
        <v>15</v>
      </c>
      <c r="D107" s="7" t="s">
        <v>21</v>
      </c>
      <c r="E107" s="7" t="s">
        <v>23</v>
      </c>
      <c r="F107" s="7">
        <v>18</v>
      </c>
      <c r="G107" s="7">
        <v>1852.35</v>
      </c>
      <c r="H107" s="8">
        <f t="shared" si="3"/>
        <v>33342.299999999996</v>
      </c>
      <c r="I107" s="8">
        <f>F107*G107*0.55</f>
        <v>18338.264999999999</v>
      </c>
      <c r="J107" s="8">
        <f t="shared" si="4"/>
        <v>15004.034999999996</v>
      </c>
      <c r="K107" s="9">
        <f t="shared" si="5"/>
        <v>0.44999999999999996</v>
      </c>
    </row>
    <row r="108" spans="1:11">
      <c r="A108" s="2">
        <v>107</v>
      </c>
      <c r="B108" s="3" t="s">
        <v>31</v>
      </c>
      <c r="C108" s="3" t="s">
        <v>24</v>
      </c>
      <c r="D108" s="3" t="s">
        <v>13</v>
      </c>
      <c r="E108" s="3" t="s">
        <v>17</v>
      </c>
      <c r="F108" s="3">
        <v>20</v>
      </c>
      <c r="G108" s="3">
        <v>4442.26</v>
      </c>
      <c r="H108" s="4">
        <f t="shared" si="3"/>
        <v>88845.200000000012</v>
      </c>
      <c r="I108" s="4">
        <f>F108*G108*0.62</f>
        <v>55084.024000000005</v>
      </c>
      <c r="J108" s="4">
        <f t="shared" si="4"/>
        <v>33761.176000000007</v>
      </c>
      <c r="K108" s="5">
        <f t="shared" si="5"/>
        <v>0.38</v>
      </c>
    </row>
    <row r="109" spans="1:11">
      <c r="A109" s="6">
        <v>108</v>
      </c>
      <c r="B109" s="7" t="s">
        <v>31</v>
      </c>
      <c r="C109" s="7" t="s">
        <v>12</v>
      </c>
      <c r="D109" s="7" t="s">
        <v>22</v>
      </c>
      <c r="E109" s="7" t="s">
        <v>17</v>
      </c>
      <c r="F109" s="7">
        <v>12</v>
      </c>
      <c r="G109" s="7">
        <v>1159.5</v>
      </c>
      <c r="H109" s="8">
        <f t="shared" si="3"/>
        <v>13914</v>
      </c>
      <c r="I109" s="8">
        <f>F109*G109*0.5</f>
        <v>6957</v>
      </c>
      <c r="J109" s="8">
        <f t="shared" si="4"/>
        <v>6957</v>
      </c>
      <c r="K109" s="9">
        <f t="shared" si="5"/>
        <v>0.5</v>
      </c>
    </row>
    <row r="110" spans="1:11">
      <c r="A110" s="2">
        <v>109</v>
      </c>
      <c r="B110" s="3" t="s">
        <v>32</v>
      </c>
      <c r="C110" s="3" t="s">
        <v>26</v>
      </c>
      <c r="D110" s="3" t="s">
        <v>20</v>
      </c>
      <c r="E110" s="3" t="s">
        <v>16</v>
      </c>
      <c r="F110" s="3">
        <v>29</v>
      </c>
      <c r="G110" s="3">
        <v>2804.26</v>
      </c>
      <c r="H110" s="4">
        <f t="shared" si="3"/>
        <v>81323.540000000008</v>
      </c>
      <c r="I110" s="4">
        <f>F110*G110*0.58</f>
        <v>47167.653200000001</v>
      </c>
      <c r="J110" s="4">
        <f t="shared" si="4"/>
        <v>34155.886800000007</v>
      </c>
      <c r="K110" s="5">
        <f t="shared" si="5"/>
        <v>0.42000000000000004</v>
      </c>
    </row>
    <row r="111" spans="1:11">
      <c r="A111" s="6">
        <v>110</v>
      </c>
      <c r="B111" s="7" t="s">
        <v>32</v>
      </c>
      <c r="C111" s="7" t="s">
        <v>19</v>
      </c>
      <c r="D111" s="7" t="s">
        <v>22</v>
      </c>
      <c r="E111" s="7" t="s">
        <v>23</v>
      </c>
      <c r="F111" s="7">
        <v>6</v>
      </c>
      <c r="G111" s="7">
        <v>1153.6400000000001</v>
      </c>
      <c r="H111" s="8">
        <f t="shared" si="3"/>
        <v>6921.84</v>
      </c>
      <c r="I111" s="8">
        <f>F111*G111*0.5</f>
        <v>3460.92</v>
      </c>
      <c r="J111" s="8">
        <f t="shared" si="4"/>
        <v>3460.92</v>
      </c>
      <c r="K111" s="9">
        <f t="shared" si="5"/>
        <v>0.5</v>
      </c>
    </row>
    <row r="112" spans="1:11">
      <c r="A112" s="2">
        <v>111</v>
      </c>
      <c r="B112" s="3" t="s">
        <v>32</v>
      </c>
      <c r="C112" s="3" t="s">
        <v>19</v>
      </c>
      <c r="D112" s="3" t="s">
        <v>18</v>
      </c>
      <c r="E112" s="3" t="s">
        <v>25</v>
      </c>
      <c r="F112" s="3">
        <v>4</v>
      </c>
      <c r="G112" s="3">
        <v>709.38</v>
      </c>
      <c r="H112" s="4">
        <f t="shared" si="3"/>
        <v>2837.52</v>
      </c>
      <c r="I112" s="4">
        <f>F112*G112*0.45</f>
        <v>1276.884</v>
      </c>
      <c r="J112" s="4">
        <f t="shared" si="4"/>
        <v>1560.636</v>
      </c>
      <c r="K112" s="5">
        <f t="shared" si="5"/>
        <v>0.55000000000000004</v>
      </c>
    </row>
    <row r="113" spans="1:11">
      <c r="A113" s="6">
        <v>112</v>
      </c>
      <c r="B113" s="7" t="s">
        <v>32</v>
      </c>
      <c r="C113" s="7" t="s">
        <v>19</v>
      </c>
      <c r="D113" s="7" t="s">
        <v>22</v>
      </c>
      <c r="E113" s="7" t="s">
        <v>23</v>
      </c>
      <c r="F113" s="7">
        <v>3</v>
      </c>
      <c r="G113" s="7">
        <v>1330.26</v>
      </c>
      <c r="H113" s="8">
        <f t="shared" si="3"/>
        <v>3990.7799999999997</v>
      </c>
      <c r="I113" s="8">
        <f>F113*G113*0.5</f>
        <v>1995.3899999999999</v>
      </c>
      <c r="J113" s="8">
        <f t="shared" si="4"/>
        <v>1995.3899999999999</v>
      </c>
      <c r="K113" s="9">
        <f t="shared" si="5"/>
        <v>0.5</v>
      </c>
    </row>
    <row r="114" spans="1:11">
      <c r="A114" s="2">
        <v>113</v>
      </c>
      <c r="B114" s="3" t="s">
        <v>32</v>
      </c>
      <c r="C114" s="3" t="s">
        <v>19</v>
      </c>
      <c r="D114" s="3" t="s">
        <v>21</v>
      </c>
      <c r="E114" s="3" t="s">
        <v>23</v>
      </c>
      <c r="F114" s="3">
        <v>37</v>
      </c>
      <c r="G114" s="3">
        <v>2032.06</v>
      </c>
      <c r="H114" s="4">
        <f t="shared" si="3"/>
        <v>75186.22</v>
      </c>
      <c r="I114" s="4">
        <f>F114*G114*0.55</f>
        <v>41352.421000000002</v>
      </c>
      <c r="J114" s="4">
        <f t="shared" si="4"/>
        <v>33833.798999999999</v>
      </c>
      <c r="K114" s="5">
        <f t="shared" si="5"/>
        <v>0.44999999999999996</v>
      </c>
    </row>
    <row r="115" spans="1:11">
      <c r="A115" s="6">
        <v>114</v>
      </c>
      <c r="B115" s="7" t="s">
        <v>32</v>
      </c>
      <c r="C115" s="7" t="s">
        <v>15</v>
      </c>
      <c r="D115" s="7" t="s">
        <v>22</v>
      </c>
      <c r="E115" s="7" t="s">
        <v>17</v>
      </c>
      <c r="F115" s="7">
        <v>34</v>
      </c>
      <c r="G115" s="7">
        <v>1156.6600000000001</v>
      </c>
      <c r="H115" s="8">
        <f t="shared" si="3"/>
        <v>39326.44</v>
      </c>
      <c r="I115" s="8">
        <f>F115*G115*0.5</f>
        <v>19663.22</v>
      </c>
      <c r="J115" s="8">
        <f t="shared" si="4"/>
        <v>19663.22</v>
      </c>
      <c r="K115" s="9">
        <f t="shared" si="5"/>
        <v>0.5</v>
      </c>
    </row>
    <row r="116" spans="1:11">
      <c r="A116" s="2">
        <v>115</v>
      </c>
      <c r="B116" s="3" t="s">
        <v>32</v>
      </c>
      <c r="C116" s="3" t="s">
        <v>19</v>
      </c>
      <c r="D116" s="3" t="s">
        <v>18</v>
      </c>
      <c r="E116" s="3" t="s">
        <v>16</v>
      </c>
      <c r="F116" s="3">
        <v>27</v>
      </c>
      <c r="G116" s="3">
        <v>641.70000000000005</v>
      </c>
      <c r="H116" s="4">
        <f t="shared" si="3"/>
        <v>17325.900000000001</v>
      </c>
      <c r="I116" s="4">
        <f>F116*G116*0.45</f>
        <v>7796.6550000000007</v>
      </c>
      <c r="J116" s="4">
        <f t="shared" si="4"/>
        <v>9529.2450000000008</v>
      </c>
      <c r="K116" s="5">
        <f t="shared" si="5"/>
        <v>0.55000000000000004</v>
      </c>
    </row>
    <row r="117" spans="1:11">
      <c r="A117" s="6">
        <v>116</v>
      </c>
      <c r="B117" s="7" t="s">
        <v>32</v>
      </c>
      <c r="C117" s="7" t="s">
        <v>26</v>
      </c>
      <c r="D117" s="7" t="s">
        <v>18</v>
      </c>
      <c r="E117" s="7" t="s">
        <v>23</v>
      </c>
      <c r="F117" s="7">
        <v>11</v>
      </c>
      <c r="G117" s="7">
        <v>725.49</v>
      </c>
      <c r="H117" s="8">
        <f t="shared" si="3"/>
        <v>7980.39</v>
      </c>
      <c r="I117" s="8">
        <f>F117*G117*0.45</f>
        <v>3591.1755000000003</v>
      </c>
      <c r="J117" s="8">
        <f t="shared" si="4"/>
        <v>4389.2145</v>
      </c>
      <c r="K117" s="9">
        <f t="shared" si="5"/>
        <v>0.54999999999999993</v>
      </c>
    </row>
    <row r="118" spans="1:11">
      <c r="A118" s="2">
        <v>117</v>
      </c>
      <c r="B118" s="3" t="s">
        <v>32</v>
      </c>
      <c r="C118" s="3" t="s">
        <v>12</v>
      </c>
      <c r="D118" s="3" t="s">
        <v>22</v>
      </c>
      <c r="E118" s="3" t="s">
        <v>23</v>
      </c>
      <c r="F118" s="3">
        <v>40</v>
      </c>
      <c r="G118" s="3">
        <v>1239.45</v>
      </c>
      <c r="H118" s="4">
        <f t="shared" si="3"/>
        <v>49578</v>
      </c>
      <c r="I118" s="4">
        <f>F118*G118*0.5</f>
        <v>24789</v>
      </c>
      <c r="J118" s="4">
        <f t="shared" si="4"/>
        <v>24789</v>
      </c>
      <c r="K118" s="5">
        <f t="shared" si="5"/>
        <v>0.5</v>
      </c>
    </row>
    <row r="119" spans="1:11">
      <c r="A119" s="6">
        <v>118</v>
      </c>
      <c r="B119" s="7" t="s">
        <v>32</v>
      </c>
      <c r="C119" s="7" t="s">
        <v>12</v>
      </c>
      <c r="D119" s="7" t="s">
        <v>13</v>
      </c>
      <c r="E119" s="7" t="s">
        <v>23</v>
      </c>
      <c r="F119" s="7">
        <v>11</v>
      </c>
      <c r="G119" s="7">
        <v>4920.17</v>
      </c>
      <c r="H119" s="8">
        <f t="shared" si="3"/>
        <v>54121.87</v>
      </c>
      <c r="I119" s="8">
        <f>F119*G119*0.62</f>
        <v>33555.559399999998</v>
      </c>
      <c r="J119" s="8">
        <f t="shared" si="4"/>
        <v>20566.310600000004</v>
      </c>
      <c r="K119" s="9">
        <f t="shared" si="5"/>
        <v>0.38000000000000006</v>
      </c>
    </row>
    <row r="120" spans="1:11">
      <c r="A120" s="2">
        <v>119</v>
      </c>
      <c r="B120" s="3" t="s">
        <v>32</v>
      </c>
      <c r="C120" s="3" t="s">
        <v>12</v>
      </c>
      <c r="D120" s="3" t="s">
        <v>20</v>
      </c>
      <c r="E120" s="3" t="s">
        <v>14</v>
      </c>
      <c r="F120" s="3">
        <v>27</v>
      </c>
      <c r="G120" s="3">
        <v>2759.32</v>
      </c>
      <c r="H120" s="4">
        <f t="shared" si="3"/>
        <v>74501.64</v>
      </c>
      <c r="I120" s="4">
        <f>F120*G120*0.58</f>
        <v>43210.951199999996</v>
      </c>
      <c r="J120" s="4">
        <f t="shared" si="4"/>
        <v>31290.688800000004</v>
      </c>
      <c r="K120" s="5">
        <f t="shared" si="5"/>
        <v>0.42000000000000004</v>
      </c>
    </row>
    <row r="121" spans="1:11">
      <c r="A121" s="6">
        <v>120</v>
      </c>
      <c r="B121" s="7" t="s">
        <v>32</v>
      </c>
      <c r="C121" s="7" t="s">
        <v>24</v>
      </c>
      <c r="D121" s="7" t="s">
        <v>18</v>
      </c>
      <c r="E121" s="7" t="s">
        <v>14</v>
      </c>
      <c r="F121" s="7">
        <v>27</v>
      </c>
      <c r="G121" s="7">
        <v>634.16999999999996</v>
      </c>
      <c r="H121" s="8">
        <f t="shared" si="3"/>
        <v>17122.59</v>
      </c>
      <c r="I121" s="8">
        <f>F121*G121*0.45</f>
        <v>7705.1655000000001</v>
      </c>
      <c r="J121" s="8">
        <f t="shared" si="4"/>
        <v>9417.424500000001</v>
      </c>
      <c r="K121" s="9">
        <f t="shared" si="5"/>
        <v>0.55000000000000004</v>
      </c>
    </row>
    <row r="122" spans="1:11">
      <c r="A122" s="2">
        <v>121</v>
      </c>
      <c r="B122" s="3" t="s">
        <v>32</v>
      </c>
      <c r="C122" s="3" t="s">
        <v>24</v>
      </c>
      <c r="D122" s="3" t="s">
        <v>18</v>
      </c>
      <c r="E122" s="3" t="s">
        <v>16</v>
      </c>
      <c r="F122" s="3">
        <v>33</v>
      </c>
      <c r="G122" s="3">
        <v>600.52</v>
      </c>
      <c r="H122" s="4">
        <f t="shared" si="3"/>
        <v>19817.16</v>
      </c>
      <c r="I122" s="4">
        <f>F122*G122*0.45</f>
        <v>8917.7219999999998</v>
      </c>
      <c r="J122" s="4">
        <f t="shared" si="4"/>
        <v>10899.438</v>
      </c>
      <c r="K122" s="5">
        <f t="shared" si="5"/>
        <v>0.55000000000000004</v>
      </c>
    </row>
    <row r="123" spans="1:11">
      <c r="A123" s="6">
        <v>122</v>
      </c>
      <c r="B123" s="7" t="s">
        <v>32</v>
      </c>
      <c r="C123" s="7" t="s">
        <v>12</v>
      </c>
      <c r="D123" s="7" t="s">
        <v>22</v>
      </c>
      <c r="E123" s="7" t="s">
        <v>14</v>
      </c>
      <c r="F123" s="7">
        <v>17</v>
      </c>
      <c r="G123" s="7">
        <v>1260.03</v>
      </c>
      <c r="H123" s="8">
        <f t="shared" si="3"/>
        <v>21420.51</v>
      </c>
      <c r="I123" s="8">
        <f>F123*G123*0.5</f>
        <v>10710.254999999999</v>
      </c>
      <c r="J123" s="8">
        <f t="shared" si="4"/>
        <v>10710.254999999999</v>
      </c>
      <c r="K123" s="9">
        <f t="shared" si="5"/>
        <v>0.5</v>
      </c>
    </row>
    <row r="124" spans="1:11">
      <c r="A124" s="2">
        <v>123</v>
      </c>
      <c r="B124" s="3" t="s">
        <v>32</v>
      </c>
      <c r="C124" s="3" t="s">
        <v>12</v>
      </c>
      <c r="D124" s="3" t="s">
        <v>13</v>
      </c>
      <c r="E124" s="3" t="s">
        <v>17</v>
      </c>
      <c r="F124" s="3">
        <v>15</v>
      </c>
      <c r="G124" s="3">
        <v>4895.3100000000004</v>
      </c>
      <c r="H124" s="4">
        <f t="shared" si="3"/>
        <v>73429.650000000009</v>
      </c>
      <c r="I124" s="4">
        <f>F124*G124*0.62</f>
        <v>45526.383000000002</v>
      </c>
      <c r="J124" s="4">
        <f t="shared" si="4"/>
        <v>27903.267000000007</v>
      </c>
      <c r="K124" s="5">
        <f t="shared" si="5"/>
        <v>0.38000000000000006</v>
      </c>
    </row>
    <row r="125" spans="1:11">
      <c r="A125" s="6">
        <v>124</v>
      </c>
      <c r="B125" s="7" t="s">
        <v>32</v>
      </c>
      <c r="C125" s="7" t="s">
        <v>26</v>
      </c>
      <c r="D125" s="7" t="s">
        <v>22</v>
      </c>
      <c r="E125" s="7" t="s">
        <v>17</v>
      </c>
      <c r="F125" s="7">
        <v>11</v>
      </c>
      <c r="G125" s="7">
        <v>1217.6500000000001</v>
      </c>
      <c r="H125" s="8">
        <f t="shared" si="3"/>
        <v>13394.150000000001</v>
      </c>
      <c r="I125" s="8">
        <f>F125*G125*0.5</f>
        <v>6697.0750000000007</v>
      </c>
      <c r="J125" s="8">
        <f t="shared" si="4"/>
        <v>6697.0750000000007</v>
      </c>
      <c r="K125" s="9">
        <f t="shared" si="5"/>
        <v>0.5</v>
      </c>
    </row>
    <row r="126" spans="1:11">
      <c r="A126" s="2">
        <v>125</v>
      </c>
      <c r="B126" s="3" t="s">
        <v>32</v>
      </c>
      <c r="C126" s="3" t="s">
        <v>15</v>
      </c>
      <c r="D126" s="3" t="s">
        <v>13</v>
      </c>
      <c r="E126" s="3" t="s">
        <v>17</v>
      </c>
      <c r="F126" s="3">
        <v>32</v>
      </c>
      <c r="G126" s="3">
        <v>4769.5200000000004</v>
      </c>
      <c r="H126" s="4">
        <f t="shared" si="3"/>
        <v>152624.64000000001</v>
      </c>
      <c r="I126" s="4">
        <f>F126*G126*0.62</f>
        <v>94627.276800000007</v>
      </c>
      <c r="J126" s="4">
        <f t="shared" si="4"/>
        <v>57997.363200000007</v>
      </c>
      <c r="K126" s="5">
        <f t="shared" si="5"/>
        <v>0.38</v>
      </c>
    </row>
    <row r="127" spans="1:11">
      <c r="A127" s="6">
        <v>126</v>
      </c>
      <c r="B127" s="7" t="s">
        <v>32</v>
      </c>
      <c r="C127" s="7" t="s">
        <v>26</v>
      </c>
      <c r="D127" s="7" t="s">
        <v>21</v>
      </c>
      <c r="E127" s="7" t="s">
        <v>25</v>
      </c>
      <c r="F127" s="7">
        <v>10</v>
      </c>
      <c r="G127" s="7">
        <v>2043.56</v>
      </c>
      <c r="H127" s="8">
        <f t="shared" si="3"/>
        <v>20435.599999999999</v>
      </c>
      <c r="I127" s="8">
        <f>F127*G127*0.55</f>
        <v>11239.58</v>
      </c>
      <c r="J127" s="8">
        <f t="shared" si="4"/>
        <v>9196.0199999999986</v>
      </c>
      <c r="K127" s="9">
        <f t="shared" si="5"/>
        <v>0.44999999999999996</v>
      </c>
    </row>
    <row r="128" spans="1:11">
      <c r="A128" s="2">
        <v>127</v>
      </c>
      <c r="B128" s="3" t="s">
        <v>33</v>
      </c>
      <c r="C128" s="3" t="s">
        <v>24</v>
      </c>
      <c r="D128" s="3" t="s">
        <v>20</v>
      </c>
      <c r="E128" s="3" t="s">
        <v>16</v>
      </c>
      <c r="F128" s="3">
        <v>40</v>
      </c>
      <c r="G128" s="3">
        <v>2590.38</v>
      </c>
      <c r="H128" s="4">
        <f t="shared" si="3"/>
        <v>103615.20000000001</v>
      </c>
      <c r="I128" s="4">
        <f>F128*G128*0.58</f>
        <v>60096.816000000006</v>
      </c>
      <c r="J128" s="4">
        <f t="shared" si="4"/>
        <v>43518.384000000005</v>
      </c>
      <c r="K128" s="5">
        <f t="shared" si="5"/>
        <v>0.42</v>
      </c>
    </row>
    <row r="129" spans="1:11">
      <c r="A129" s="6">
        <v>128</v>
      </c>
      <c r="B129" s="7" t="s">
        <v>33</v>
      </c>
      <c r="C129" s="7" t="s">
        <v>15</v>
      </c>
      <c r="D129" s="7" t="s">
        <v>21</v>
      </c>
      <c r="E129" s="7" t="s">
        <v>23</v>
      </c>
      <c r="F129" s="7">
        <v>28</v>
      </c>
      <c r="G129" s="7">
        <v>2105.7600000000002</v>
      </c>
      <c r="H129" s="8">
        <f t="shared" si="3"/>
        <v>58961.280000000006</v>
      </c>
      <c r="I129" s="8">
        <f>F129*G129*0.55</f>
        <v>32428.704000000005</v>
      </c>
      <c r="J129" s="8">
        <f t="shared" si="4"/>
        <v>26532.576000000001</v>
      </c>
      <c r="K129" s="9">
        <f t="shared" si="5"/>
        <v>0.44999999999999996</v>
      </c>
    </row>
    <row r="130" spans="1:11">
      <c r="A130" s="2">
        <v>129</v>
      </c>
      <c r="B130" s="3" t="s">
        <v>33</v>
      </c>
      <c r="C130" s="3" t="s">
        <v>12</v>
      </c>
      <c r="D130" s="3" t="s">
        <v>20</v>
      </c>
      <c r="E130" s="3" t="s">
        <v>25</v>
      </c>
      <c r="F130" s="3">
        <v>18</v>
      </c>
      <c r="G130" s="3">
        <v>2633.06</v>
      </c>
      <c r="H130" s="4">
        <f t="shared" ref="H130:H193" si="6">F130*G130</f>
        <v>47395.08</v>
      </c>
      <c r="I130" s="4">
        <f>F130*G130*0.58</f>
        <v>27489.146399999998</v>
      </c>
      <c r="J130" s="4">
        <f t="shared" ref="J130:J193" si="7">H130-I130</f>
        <v>19905.933600000004</v>
      </c>
      <c r="K130" s="5">
        <f t="shared" ref="K130:K193" si="8">IF(H130=0,0,J130/H130)</f>
        <v>0.42000000000000004</v>
      </c>
    </row>
    <row r="131" spans="1:11">
      <c r="A131" s="6">
        <v>130</v>
      </c>
      <c r="B131" s="7" t="s">
        <v>33</v>
      </c>
      <c r="C131" s="7" t="s">
        <v>15</v>
      </c>
      <c r="D131" s="7" t="s">
        <v>21</v>
      </c>
      <c r="E131" s="7" t="s">
        <v>16</v>
      </c>
      <c r="F131" s="7">
        <v>39</v>
      </c>
      <c r="G131" s="7">
        <v>2045.4</v>
      </c>
      <c r="H131" s="8">
        <f t="shared" si="6"/>
        <v>79770.600000000006</v>
      </c>
      <c r="I131" s="8">
        <f>F131*G131*0.55</f>
        <v>43873.830000000009</v>
      </c>
      <c r="J131" s="8">
        <f t="shared" si="7"/>
        <v>35896.769999999997</v>
      </c>
      <c r="K131" s="9">
        <f t="shared" si="8"/>
        <v>0.4499999999999999</v>
      </c>
    </row>
    <row r="132" spans="1:11">
      <c r="A132" s="2">
        <v>131</v>
      </c>
      <c r="B132" s="3" t="s">
        <v>33</v>
      </c>
      <c r="C132" s="3" t="s">
        <v>15</v>
      </c>
      <c r="D132" s="3" t="s">
        <v>21</v>
      </c>
      <c r="E132" s="3" t="s">
        <v>23</v>
      </c>
      <c r="F132" s="3">
        <v>26</v>
      </c>
      <c r="G132" s="3">
        <v>1774.2</v>
      </c>
      <c r="H132" s="4">
        <f t="shared" si="6"/>
        <v>46129.200000000004</v>
      </c>
      <c r="I132" s="4">
        <f>F132*G132*0.55</f>
        <v>25371.060000000005</v>
      </c>
      <c r="J132" s="4">
        <f t="shared" si="7"/>
        <v>20758.14</v>
      </c>
      <c r="K132" s="5">
        <f t="shared" si="8"/>
        <v>0.44999999999999996</v>
      </c>
    </row>
    <row r="133" spans="1:11">
      <c r="A133" s="6">
        <v>132</v>
      </c>
      <c r="B133" s="7" t="s">
        <v>33</v>
      </c>
      <c r="C133" s="7" t="s">
        <v>12</v>
      </c>
      <c r="D133" s="7" t="s">
        <v>21</v>
      </c>
      <c r="E133" s="7" t="s">
        <v>23</v>
      </c>
      <c r="F133" s="7">
        <v>34</v>
      </c>
      <c r="G133" s="7">
        <v>1788.1</v>
      </c>
      <c r="H133" s="8">
        <f t="shared" si="6"/>
        <v>60795.399999999994</v>
      </c>
      <c r="I133" s="8">
        <f>F133*G133*0.55</f>
        <v>33437.47</v>
      </c>
      <c r="J133" s="8">
        <f t="shared" si="7"/>
        <v>27357.929999999993</v>
      </c>
      <c r="K133" s="9">
        <f t="shared" si="8"/>
        <v>0.44999999999999996</v>
      </c>
    </row>
    <row r="134" spans="1:11">
      <c r="A134" s="2">
        <v>133</v>
      </c>
      <c r="B134" s="3" t="s">
        <v>33</v>
      </c>
      <c r="C134" s="3" t="s">
        <v>19</v>
      </c>
      <c r="D134" s="3" t="s">
        <v>21</v>
      </c>
      <c r="E134" s="3" t="s">
        <v>17</v>
      </c>
      <c r="F134" s="3">
        <v>30</v>
      </c>
      <c r="G134" s="3">
        <v>1814.93</v>
      </c>
      <c r="H134" s="4">
        <f t="shared" si="6"/>
        <v>54447.9</v>
      </c>
      <c r="I134" s="4">
        <f>F134*G134*0.55</f>
        <v>29946.345000000005</v>
      </c>
      <c r="J134" s="4">
        <f t="shared" si="7"/>
        <v>24501.554999999997</v>
      </c>
      <c r="K134" s="5">
        <f t="shared" si="8"/>
        <v>0.4499999999999999</v>
      </c>
    </row>
    <row r="135" spans="1:11">
      <c r="A135" s="6">
        <v>134</v>
      </c>
      <c r="B135" s="7" t="s">
        <v>33</v>
      </c>
      <c r="C135" s="7" t="s">
        <v>24</v>
      </c>
      <c r="D135" s="7" t="s">
        <v>22</v>
      </c>
      <c r="E135" s="7" t="s">
        <v>25</v>
      </c>
      <c r="F135" s="7">
        <v>37</v>
      </c>
      <c r="G135" s="7">
        <v>1289.9100000000001</v>
      </c>
      <c r="H135" s="8">
        <f t="shared" si="6"/>
        <v>47726.670000000006</v>
      </c>
      <c r="I135" s="8">
        <f>F135*G135*0.5</f>
        <v>23863.335000000003</v>
      </c>
      <c r="J135" s="8">
        <f t="shared" si="7"/>
        <v>23863.335000000003</v>
      </c>
      <c r="K135" s="9">
        <f t="shared" si="8"/>
        <v>0.5</v>
      </c>
    </row>
    <row r="136" spans="1:11">
      <c r="A136" s="2">
        <v>135</v>
      </c>
      <c r="B136" s="3" t="s">
        <v>33</v>
      </c>
      <c r="C136" s="3" t="s">
        <v>19</v>
      </c>
      <c r="D136" s="3" t="s">
        <v>18</v>
      </c>
      <c r="E136" s="3" t="s">
        <v>25</v>
      </c>
      <c r="F136" s="3">
        <v>20</v>
      </c>
      <c r="G136" s="3">
        <v>639.9</v>
      </c>
      <c r="H136" s="4">
        <f t="shared" si="6"/>
        <v>12798</v>
      </c>
      <c r="I136" s="4">
        <f>F136*G136*0.45</f>
        <v>5759.1</v>
      </c>
      <c r="J136" s="4">
        <f t="shared" si="7"/>
        <v>7038.9</v>
      </c>
      <c r="K136" s="5">
        <f t="shared" si="8"/>
        <v>0.54999999999999993</v>
      </c>
    </row>
    <row r="137" spans="1:11">
      <c r="A137" s="6">
        <v>136</v>
      </c>
      <c r="B137" s="7" t="s">
        <v>33</v>
      </c>
      <c r="C137" s="7" t="s">
        <v>12</v>
      </c>
      <c r="D137" s="7" t="s">
        <v>20</v>
      </c>
      <c r="E137" s="7" t="s">
        <v>14</v>
      </c>
      <c r="F137" s="7">
        <v>31</v>
      </c>
      <c r="G137" s="7">
        <v>2712.56</v>
      </c>
      <c r="H137" s="8">
        <f t="shared" si="6"/>
        <v>84089.36</v>
      </c>
      <c r="I137" s="8">
        <f>F137*G137*0.58</f>
        <v>48771.828799999996</v>
      </c>
      <c r="J137" s="8">
        <f t="shared" si="7"/>
        <v>35317.531200000005</v>
      </c>
      <c r="K137" s="9">
        <f t="shared" si="8"/>
        <v>0.42000000000000004</v>
      </c>
    </row>
    <row r="138" spans="1:11">
      <c r="A138" s="2">
        <v>137</v>
      </c>
      <c r="B138" s="3" t="s">
        <v>33</v>
      </c>
      <c r="C138" s="3" t="s">
        <v>15</v>
      </c>
      <c r="D138" s="3" t="s">
        <v>18</v>
      </c>
      <c r="E138" s="3" t="s">
        <v>25</v>
      </c>
      <c r="F138" s="3">
        <v>27</v>
      </c>
      <c r="G138" s="3">
        <v>641.73</v>
      </c>
      <c r="H138" s="4">
        <f t="shared" si="6"/>
        <v>17326.71</v>
      </c>
      <c r="I138" s="4">
        <f>F138*G138*0.45</f>
        <v>7797.0194999999994</v>
      </c>
      <c r="J138" s="4">
        <f t="shared" si="7"/>
        <v>9529.6905000000006</v>
      </c>
      <c r="K138" s="5">
        <f t="shared" si="8"/>
        <v>0.55000000000000004</v>
      </c>
    </row>
    <row r="139" spans="1:11">
      <c r="A139" s="6">
        <v>138</v>
      </c>
      <c r="B139" s="7" t="s">
        <v>33</v>
      </c>
      <c r="C139" s="7" t="s">
        <v>24</v>
      </c>
      <c r="D139" s="7" t="s">
        <v>18</v>
      </c>
      <c r="E139" s="7" t="s">
        <v>17</v>
      </c>
      <c r="F139" s="7">
        <v>34</v>
      </c>
      <c r="G139" s="7">
        <v>625.58000000000004</v>
      </c>
      <c r="H139" s="8">
        <f t="shared" si="6"/>
        <v>21269.72</v>
      </c>
      <c r="I139" s="8">
        <f>F139*G139*0.45</f>
        <v>9571.3740000000016</v>
      </c>
      <c r="J139" s="8">
        <f t="shared" si="7"/>
        <v>11698.346</v>
      </c>
      <c r="K139" s="9">
        <f t="shared" si="8"/>
        <v>0.54999999999999993</v>
      </c>
    </row>
    <row r="140" spans="1:11">
      <c r="A140" s="2">
        <v>139</v>
      </c>
      <c r="B140" s="3" t="s">
        <v>33</v>
      </c>
      <c r="C140" s="3" t="s">
        <v>24</v>
      </c>
      <c r="D140" s="3" t="s">
        <v>21</v>
      </c>
      <c r="E140" s="3" t="s">
        <v>14</v>
      </c>
      <c r="F140" s="3">
        <v>20</v>
      </c>
      <c r="G140" s="3">
        <v>1959.2</v>
      </c>
      <c r="H140" s="4">
        <f t="shared" si="6"/>
        <v>39184</v>
      </c>
      <c r="I140" s="4">
        <f>F140*G140*0.55</f>
        <v>21551.200000000001</v>
      </c>
      <c r="J140" s="4">
        <f t="shared" si="7"/>
        <v>17632.8</v>
      </c>
      <c r="K140" s="5">
        <f t="shared" si="8"/>
        <v>0.44999999999999996</v>
      </c>
    </row>
    <row r="141" spans="1:11">
      <c r="A141" s="6">
        <v>140</v>
      </c>
      <c r="B141" s="7" t="s">
        <v>33</v>
      </c>
      <c r="C141" s="7" t="s">
        <v>26</v>
      </c>
      <c r="D141" s="7" t="s">
        <v>22</v>
      </c>
      <c r="E141" s="7" t="s">
        <v>16</v>
      </c>
      <c r="F141" s="7">
        <v>18</v>
      </c>
      <c r="G141" s="7">
        <v>1276.82</v>
      </c>
      <c r="H141" s="8">
        <f t="shared" si="6"/>
        <v>22982.76</v>
      </c>
      <c r="I141" s="8">
        <f>F141*G141*0.5</f>
        <v>11491.38</v>
      </c>
      <c r="J141" s="8">
        <f t="shared" si="7"/>
        <v>11491.38</v>
      </c>
      <c r="K141" s="9">
        <f t="shared" si="8"/>
        <v>0.5</v>
      </c>
    </row>
    <row r="142" spans="1:11">
      <c r="A142" s="2">
        <v>141</v>
      </c>
      <c r="B142" s="3" t="s">
        <v>33</v>
      </c>
      <c r="C142" s="3" t="s">
        <v>15</v>
      </c>
      <c r="D142" s="3" t="s">
        <v>18</v>
      </c>
      <c r="E142" s="3" t="s">
        <v>17</v>
      </c>
      <c r="F142" s="3">
        <v>33</v>
      </c>
      <c r="G142" s="3">
        <v>681.97</v>
      </c>
      <c r="H142" s="4">
        <f t="shared" si="6"/>
        <v>22505.010000000002</v>
      </c>
      <c r="I142" s="4">
        <f>F142*G142*0.45</f>
        <v>10127.254500000001</v>
      </c>
      <c r="J142" s="4">
        <f t="shared" si="7"/>
        <v>12377.755500000001</v>
      </c>
      <c r="K142" s="5">
        <f t="shared" si="8"/>
        <v>0.55000000000000004</v>
      </c>
    </row>
    <row r="143" spans="1:11">
      <c r="A143" s="6">
        <v>142</v>
      </c>
      <c r="B143" s="7" t="s">
        <v>33</v>
      </c>
      <c r="C143" s="7" t="s">
        <v>19</v>
      </c>
      <c r="D143" s="7" t="s">
        <v>18</v>
      </c>
      <c r="E143" s="7" t="s">
        <v>16</v>
      </c>
      <c r="F143" s="7">
        <v>8</v>
      </c>
      <c r="G143" s="7">
        <v>636.25</v>
      </c>
      <c r="H143" s="8">
        <f t="shared" si="6"/>
        <v>5090</v>
      </c>
      <c r="I143" s="8">
        <f>F143*G143*0.45</f>
        <v>2290.5</v>
      </c>
      <c r="J143" s="8">
        <f t="shared" si="7"/>
        <v>2799.5</v>
      </c>
      <c r="K143" s="9">
        <f t="shared" si="8"/>
        <v>0.55000000000000004</v>
      </c>
    </row>
    <row r="144" spans="1:11">
      <c r="A144" s="2">
        <v>143</v>
      </c>
      <c r="B144" s="3" t="s">
        <v>33</v>
      </c>
      <c r="C144" s="3" t="s">
        <v>26</v>
      </c>
      <c r="D144" s="3" t="s">
        <v>18</v>
      </c>
      <c r="E144" s="3" t="s">
        <v>14</v>
      </c>
      <c r="F144" s="3">
        <v>40</v>
      </c>
      <c r="G144" s="3">
        <v>645.97</v>
      </c>
      <c r="H144" s="4">
        <f t="shared" si="6"/>
        <v>25838.800000000003</v>
      </c>
      <c r="I144" s="4">
        <f>F144*G144*0.45</f>
        <v>11627.460000000001</v>
      </c>
      <c r="J144" s="4">
        <f t="shared" si="7"/>
        <v>14211.340000000002</v>
      </c>
      <c r="K144" s="5">
        <f t="shared" si="8"/>
        <v>0.55000000000000004</v>
      </c>
    </row>
    <row r="145" spans="1:11">
      <c r="A145" s="6">
        <v>144</v>
      </c>
      <c r="B145" s="7" t="s">
        <v>33</v>
      </c>
      <c r="C145" s="7" t="s">
        <v>15</v>
      </c>
      <c r="D145" s="7" t="s">
        <v>22</v>
      </c>
      <c r="E145" s="7" t="s">
        <v>14</v>
      </c>
      <c r="F145" s="7">
        <v>30</v>
      </c>
      <c r="G145" s="7">
        <v>1343.19</v>
      </c>
      <c r="H145" s="8">
        <f t="shared" si="6"/>
        <v>40295.700000000004</v>
      </c>
      <c r="I145" s="8">
        <f>F145*G145*0.5</f>
        <v>20147.850000000002</v>
      </c>
      <c r="J145" s="8">
        <f t="shared" si="7"/>
        <v>20147.850000000002</v>
      </c>
      <c r="K145" s="9">
        <f t="shared" si="8"/>
        <v>0.5</v>
      </c>
    </row>
    <row r="146" spans="1:11">
      <c r="A146" s="2">
        <v>145</v>
      </c>
      <c r="B146" s="3" t="s">
        <v>34</v>
      </c>
      <c r="C146" s="3" t="s">
        <v>24</v>
      </c>
      <c r="D146" s="3" t="s">
        <v>22</v>
      </c>
      <c r="E146" s="3" t="s">
        <v>14</v>
      </c>
      <c r="F146" s="3">
        <v>32</v>
      </c>
      <c r="G146" s="3">
        <v>1169.02</v>
      </c>
      <c r="H146" s="4">
        <f t="shared" si="6"/>
        <v>37408.639999999999</v>
      </c>
      <c r="I146" s="4">
        <f>F146*G146*0.5</f>
        <v>18704.32</v>
      </c>
      <c r="J146" s="4">
        <f t="shared" si="7"/>
        <v>18704.32</v>
      </c>
      <c r="K146" s="5">
        <f t="shared" si="8"/>
        <v>0.5</v>
      </c>
    </row>
    <row r="147" spans="1:11">
      <c r="A147" s="6">
        <v>146</v>
      </c>
      <c r="B147" s="7" t="s">
        <v>34</v>
      </c>
      <c r="C147" s="7" t="s">
        <v>26</v>
      </c>
      <c r="D147" s="7" t="s">
        <v>21</v>
      </c>
      <c r="E147" s="7" t="s">
        <v>16</v>
      </c>
      <c r="F147" s="7">
        <v>15</v>
      </c>
      <c r="G147" s="7">
        <v>1867.91</v>
      </c>
      <c r="H147" s="8">
        <f t="shared" si="6"/>
        <v>28018.65</v>
      </c>
      <c r="I147" s="8">
        <f>F147*G147*0.55</f>
        <v>15410.257500000002</v>
      </c>
      <c r="J147" s="8">
        <f t="shared" si="7"/>
        <v>12608.3925</v>
      </c>
      <c r="K147" s="9">
        <f t="shared" si="8"/>
        <v>0.44999999999999996</v>
      </c>
    </row>
    <row r="148" spans="1:11">
      <c r="A148" s="2">
        <v>147</v>
      </c>
      <c r="B148" s="3" t="s">
        <v>34</v>
      </c>
      <c r="C148" s="3" t="s">
        <v>26</v>
      </c>
      <c r="D148" s="3" t="s">
        <v>22</v>
      </c>
      <c r="E148" s="3" t="s">
        <v>17</v>
      </c>
      <c r="F148" s="3">
        <v>16</v>
      </c>
      <c r="G148" s="3">
        <v>1281.27</v>
      </c>
      <c r="H148" s="4">
        <f t="shared" si="6"/>
        <v>20500.32</v>
      </c>
      <c r="I148" s="4">
        <f>F148*G148*0.5</f>
        <v>10250.16</v>
      </c>
      <c r="J148" s="4">
        <f t="shared" si="7"/>
        <v>10250.16</v>
      </c>
      <c r="K148" s="5">
        <f t="shared" si="8"/>
        <v>0.5</v>
      </c>
    </row>
    <row r="149" spans="1:11">
      <c r="A149" s="6">
        <v>148</v>
      </c>
      <c r="B149" s="7" t="s">
        <v>34</v>
      </c>
      <c r="C149" s="7" t="s">
        <v>15</v>
      </c>
      <c r="D149" s="7" t="s">
        <v>21</v>
      </c>
      <c r="E149" s="7" t="s">
        <v>25</v>
      </c>
      <c r="F149" s="7">
        <v>21</v>
      </c>
      <c r="G149" s="7">
        <v>2120.59</v>
      </c>
      <c r="H149" s="8">
        <f t="shared" si="6"/>
        <v>44532.39</v>
      </c>
      <c r="I149" s="8">
        <f>F149*G149*0.55</f>
        <v>24492.8145</v>
      </c>
      <c r="J149" s="8">
        <f t="shared" si="7"/>
        <v>20039.575499999999</v>
      </c>
      <c r="K149" s="9">
        <f t="shared" si="8"/>
        <v>0.45</v>
      </c>
    </row>
    <row r="150" spans="1:11">
      <c r="A150" s="2">
        <v>149</v>
      </c>
      <c r="B150" s="3" t="s">
        <v>34</v>
      </c>
      <c r="C150" s="3" t="s">
        <v>24</v>
      </c>
      <c r="D150" s="3" t="s">
        <v>20</v>
      </c>
      <c r="E150" s="3" t="s">
        <v>17</v>
      </c>
      <c r="F150" s="3">
        <v>26</v>
      </c>
      <c r="G150" s="3">
        <v>2676.49</v>
      </c>
      <c r="H150" s="4">
        <f t="shared" si="6"/>
        <v>69588.739999999991</v>
      </c>
      <c r="I150" s="4">
        <f>F150*G150*0.58</f>
        <v>40361.469199999992</v>
      </c>
      <c r="J150" s="4">
        <f t="shared" si="7"/>
        <v>29227.270799999998</v>
      </c>
      <c r="K150" s="5">
        <f t="shared" si="8"/>
        <v>0.42000000000000004</v>
      </c>
    </row>
    <row r="151" spans="1:11">
      <c r="A151" s="6">
        <v>150</v>
      </c>
      <c r="B151" s="7" t="s">
        <v>34</v>
      </c>
      <c r="C151" s="7" t="s">
        <v>15</v>
      </c>
      <c r="D151" s="7" t="s">
        <v>13</v>
      </c>
      <c r="E151" s="7" t="s">
        <v>17</v>
      </c>
      <c r="F151" s="7">
        <v>20</v>
      </c>
      <c r="G151" s="7">
        <v>4180.96</v>
      </c>
      <c r="H151" s="8">
        <f t="shared" si="6"/>
        <v>83619.199999999997</v>
      </c>
      <c r="I151" s="8">
        <f>F151*G151*0.62</f>
        <v>51843.903999999995</v>
      </c>
      <c r="J151" s="8">
        <f t="shared" si="7"/>
        <v>31775.296000000002</v>
      </c>
      <c r="K151" s="9">
        <f t="shared" si="8"/>
        <v>0.38000000000000006</v>
      </c>
    </row>
    <row r="152" spans="1:11">
      <c r="A152" s="2">
        <v>151</v>
      </c>
      <c r="B152" s="3" t="s">
        <v>34</v>
      </c>
      <c r="C152" s="3" t="s">
        <v>15</v>
      </c>
      <c r="D152" s="3" t="s">
        <v>13</v>
      </c>
      <c r="E152" s="3" t="s">
        <v>14</v>
      </c>
      <c r="F152" s="3">
        <v>11</v>
      </c>
      <c r="G152" s="3">
        <v>4714.08</v>
      </c>
      <c r="H152" s="4">
        <f t="shared" si="6"/>
        <v>51854.879999999997</v>
      </c>
      <c r="I152" s="4">
        <f>F152*G152*0.62</f>
        <v>32150.025599999997</v>
      </c>
      <c r="J152" s="4">
        <f t="shared" si="7"/>
        <v>19704.8544</v>
      </c>
      <c r="K152" s="5">
        <f t="shared" si="8"/>
        <v>0.38</v>
      </c>
    </row>
    <row r="153" spans="1:11">
      <c r="A153" s="6">
        <v>152</v>
      </c>
      <c r="B153" s="7" t="s">
        <v>34</v>
      </c>
      <c r="C153" s="7" t="s">
        <v>12</v>
      </c>
      <c r="D153" s="7" t="s">
        <v>18</v>
      </c>
      <c r="E153" s="7" t="s">
        <v>16</v>
      </c>
      <c r="F153" s="7">
        <v>39</v>
      </c>
      <c r="G153" s="7">
        <v>634.96</v>
      </c>
      <c r="H153" s="8">
        <f t="shared" si="6"/>
        <v>24763.440000000002</v>
      </c>
      <c r="I153" s="8">
        <f>F153*G153*0.45</f>
        <v>11143.548000000001</v>
      </c>
      <c r="J153" s="8">
        <f t="shared" si="7"/>
        <v>13619.892000000002</v>
      </c>
      <c r="K153" s="9">
        <f t="shared" si="8"/>
        <v>0.55000000000000004</v>
      </c>
    </row>
    <row r="154" spans="1:11">
      <c r="A154" s="2">
        <v>153</v>
      </c>
      <c r="B154" s="3" t="s">
        <v>34</v>
      </c>
      <c r="C154" s="3" t="s">
        <v>19</v>
      </c>
      <c r="D154" s="3" t="s">
        <v>18</v>
      </c>
      <c r="E154" s="3" t="s">
        <v>14</v>
      </c>
      <c r="F154" s="3">
        <v>14</v>
      </c>
      <c r="G154" s="3">
        <v>723.51</v>
      </c>
      <c r="H154" s="4">
        <f t="shared" si="6"/>
        <v>10129.14</v>
      </c>
      <c r="I154" s="4">
        <f>F154*G154*0.45</f>
        <v>4558.1130000000003</v>
      </c>
      <c r="J154" s="4">
        <f t="shared" si="7"/>
        <v>5571.0269999999991</v>
      </c>
      <c r="K154" s="5">
        <f t="shared" si="8"/>
        <v>0.54999999999999993</v>
      </c>
    </row>
    <row r="155" spans="1:11">
      <c r="A155" s="6">
        <v>154</v>
      </c>
      <c r="B155" s="7" t="s">
        <v>34</v>
      </c>
      <c r="C155" s="7" t="s">
        <v>19</v>
      </c>
      <c r="D155" s="7" t="s">
        <v>21</v>
      </c>
      <c r="E155" s="7" t="s">
        <v>16</v>
      </c>
      <c r="F155" s="7">
        <v>7</v>
      </c>
      <c r="G155" s="7">
        <v>1900.27</v>
      </c>
      <c r="H155" s="8">
        <f t="shared" si="6"/>
        <v>13301.89</v>
      </c>
      <c r="I155" s="8">
        <f>F155*G155*0.55</f>
        <v>7316.0394999999999</v>
      </c>
      <c r="J155" s="8">
        <f t="shared" si="7"/>
        <v>5985.8504999999996</v>
      </c>
      <c r="K155" s="9">
        <f t="shared" si="8"/>
        <v>0.45</v>
      </c>
    </row>
    <row r="156" spans="1:11">
      <c r="A156" s="2">
        <v>155</v>
      </c>
      <c r="B156" s="3" t="s">
        <v>34</v>
      </c>
      <c r="C156" s="3" t="s">
        <v>15</v>
      </c>
      <c r="D156" s="3" t="s">
        <v>13</v>
      </c>
      <c r="E156" s="3" t="s">
        <v>16</v>
      </c>
      <c r="F156" s="3">
        <v>12</v>
      </c>
      <c r="G156" s="3">
        <v>4274.28</v>
      </c>
      <c r="H156" s="4">
        <f t="shared" si="6"/>
        <v>51291.360000000001</v>
      </c>
      <c r="I156" s="4">
        <f>F156*G156*0.62</f>
        <v>31800.643199999999</v>
      </c>
      <c r="J156" s="4">
        <f t="shared" si="7"/>
        <v>19490.716800000002</v>
      </c>
      <c r="K156" s="5">
        <f t="shared" si="8"/>
        <v>0.38000000000000006</v>
      </c>
    </row>
    <row r="157" spans="1:11">
      <c r="A157" s="6">
        <v>156</v>
      </c>
      <c r="B157" s="7" t="s">
        <v>34</v>
      </c>
      <c r="C157" s="7" t="s">
        <v>24</v>
      </c>
      <c r="D157" s="7" t="s">
        <v>22</v>
      </c>
      <c r="E157" s="7" t="s">
        <v>16</v>
      </c>
      <c r="F157" s="7">
        <v>18</v>
      </c>
      <c r="G157" s="7">
        <v>1132.43</v>
      </c>
      <c r="H157" s="8">
        <f t="shared" si="6"/>
        <v>20383.740000000002</v>
      </c>
      <c r="I157" s="8">
        <f>F157*G157*0.5</f>
        <v>10191.870000000001</v>
      </c>
      <c r="J157" s="8">
        <f t="shared" si="7"/>
        <v>10191.870000000001</v>
      </c>
      <c r="K157" s="9">
        <f t="shared" si="8"/>
        <v>0.5</v>
      </c>
    </row>
    <row r="158" spans="1:11">
      <c r="A158" s="2">
        <v>157</v>
      </c>
      <c r="B158" s="3" t="s">
        <v>34</v>
      </c>
      <c r="C158" s="3" t="s">
        <v>15</v>
      </c>
      <c r="D158" s="3" t="s">
        <v>18</v>
      </c>
      <c r="E158" s="3" t="s">
        <v>25</v>
      </c>
      <c r="F158" s="3">
        <v>17</v>
      </c>
      <c r="G158" s="3">
        <v>698.84</v>
      </c>
      <c r="H158" s="4">
        <f t="shared" si="6"/>
        <v>11880.28</v>
      </c>
      <c r="I158" s="4">
        <f>F158*G158*0.45</f>
        <v>5346.1260000000002</v>
      </c>
      <c r="J158" s="4">
        <f t="shared" si="7"/>
        <v>6534.1540000000005</v>
      </c>
      <c r="K158" s="5">
        <f t="shared" si="8"/>
        <v>0.55000000000000004</v>
      </c>
    </row>
    <row r="159" spans="1:11">
      <c r="A159" s="6">
        <v>158</v>
      </c>
      <c r="B159" s="7" t="s">
        <v>34</v>
      </c>
      <c r="C159" s="7" t="s">
        <v>19</v>
      </c>
      <c r="D159" s="7" t="s">
        <v>18</v>
      </c>
      <c r="E159" s="7" t="s">
        <v>23</v>
      </c>
      <c r="F159" s="7">
        <v>22</v>
      </c>
      <c r="G159" s="7">
        <v>709.82</v>
      </c>
      <c r="H159" s="8">
        <f t="shared" si="6"/>
        <v>15616.04</v>
      </c>
      <c r="I159" s="8">
        <f>F159*G159*0.45</f>
        <v>7027.2180000000008</v>
      </c>
      <c r="J159" s="8">
        <f t="shared" si="7"/>
        <v>8588.8220000000001</v>
      </c>
      <c r="K159" s="9">
        <f t="shared" si="8"/>
        <v>0.54999999999999993</v>
      </c>
    </row>
    <row r="160" spans="1:11">
      <c r="A160" s="2">
        <v>159</v>
      </c>
      <c r="B160" s="3" t="s">
        <v>34</v>
      </c>
      <c r="C160" s="3" t="s">
        <v>24</v>
      </c>
      <c r="D160" s="3" t="s">
        <v>18</v>
      </c>
      <c r="E160" s="3" t="s">
        <v>25</v>
      </c>
      <c r="F160" s="3">
        <v>6</v>
      </c>
      <c r="G160" s="3">
        <v>677.25</v>
      </c>
      <c r="H160" s="4">
        <f t="shared" si="6"/>
        <v>4063.5</v>
      </c>
      <c r="I160" s="4">
        <f>F160*G160*0.45</f>
        <v>1828.575</v>
      </c>
      <c r="J160" s="4">
        <f t="shared" si="7"/>
        <v>2234.9250000000002</v>
      </c>
      <c r="K160" s="5">
        <f t="shared" si="8"/>
        <v>0.55000000000000004</v>
      </c>
    </row>
    <row r="161" spans="1:11">
      <c r="A161" s="6">
        <v>160</v>
      </c>
      <c r="B161" s="7" t="s">
        <v>34</v>
      </c>
      <c r="C161" s="7" t="s">
        <v>26</v>
      </c>
      <c r="D161" s="7" t="s">
        <v>13</v>
      </c>
      <c r="E161" s="7" t="s">
        <v>17</v>
      </c>
      <c r="F161" s="7">
        <v>19</v>
      </c>
      <c r="G161" s="7">
        <v>4734.3900000000003</v>
      </c>
      <c r="H161" s="8">
        <f t="shared" si="6"/>
        <v>89953.41</v>
      </c>
      <c r="I161" s="8">
        <f>F161*G161*0.62</f>
        <v>55771.114200000004</v>
      </c>
      <c r="J161" s="8">
        <f t="shared" si="7"/>
        <v>34182.2958</v>
      </c>
      <c r="K161" s="9">
        <f t="shared" si="8"/>
        <v>0.38</v>
      </c>
    </row>
    <row r="162" spans="1:11">
      <c r="A162" s="2">
        <v>161</v>
      </c>
      <c r="B162" s="3" t="s">
        <v>34</v>
      </c>
      <c r="C162" s="3" t="s">
        <v>26</v>
      </c>
      <c r="D162" s="3" t="s">
        <v>20</v>
      </c>
      <c r="E162" s="3" t="s">
        <v>17</v>
      </c>
      <c r="F162" s="3">
        <v>38</v>
      </c>
      <c r="G162" s="3">
        <v>2618.04</v>
      </c>
      <c r="H162" s="4">
        <f t="shared" si="6"/>
        <v>99485.52</v>
      </c>
      <c r="I162" s="4">
        <f>F162*G162*0.58</f>
        <v>57701.601600000002</v>
      </c>
      <c r="J162" s="4">
        <f t="shared" si="7"/>
        <v>41783.918400000002</v>
      </c>
      <c r="K162" s="5">
        <f t="shared" si="8"/>
        <v>0.42</v>
      </c>
    </row>
    <row r="163" spans="1:11">
      <c r="A163" s="6">
        <v>162</v>
      </c>
      <c r="B163" s="7" t="s">
        <v>34</v>
      </c>
      <c r="C163" s="7" t="s">
        <v>19</v>
      </c>
      <c r="D163" s="7" t="s">
        <v>13</v>
      </c>
      <c r="E163" s="7" t="s">
        <v>23</v>
      </c>
      <c r="F163" s="7">
        <v>33</v>
      </c>
      <c r="G163" s="7">
        <v>4402.13</v>
      </c>
      <c r="H163" s="8">
        <f t="shared" si="6"/>
        <v>145270.29</v>
      </c>
      <c r="I163" s="8">
        <f>F163*G163*0.62</f>
        <v>90067.579800000007</v>
      </c>
      <c r="J163" s="8">
        <f t="shared" si="7"/>
        <v>55202.710200000001</v>
      </c>
      <c r="K163" s="9">
        <f t="shared" si="8"/>
        <v>0.38</v>
      </c>
    </row>
    <row r="164" spans="1:11">
      <c r="A164" s="2">
        <v>163</v>
      </c>
      <c r="B164" s="3" t="s">
        <v>35</v>
      </c>
      <c r="C164" s="3" t="s">
        <v>24</v>
      </c>
      <c r="D164" s="3" t="s">
        <v>20</v>
      </c>
      <c r="E164" s="3" t="s">
        <v>14</v>
      </c>
      <c r="F164" s="3">
        <v>32</v>
      </c>
      <c r="G164" s="3">
        <v>2615.86</v>
      </c>
      <c r="H164" s="4">
        <f t="shared" si="6"/>
        <v>83707.520000000004</v>
      </c>
      <c r="I164" s="4">
        <f>F164*G164*0.58</f>
        <v>48550.361599999997</v>
      </c>
      <c r="J164" s="4">
        <f t="shared" si="7"/>
        <v>35157.158400000008</v>
      </c>
      <c r="K164" s="5">
        <f t="shared" si="8"/>
        <v>0.4200000000000001</v>
      </c>
    </row>
    <row r="165" spans="1:11">
      <c r="A165" s="6">
        <v>164</v>
      </c>
      <c r="B165" s="7" t="s">
        <v>35</v>
      </c>
      <c r="C165" s="7" t="s">
        <v>24</v>
      </c>
      <c r="D165" s="7" t="s">
        <v>20</v>
      </c>
      <c r="E165" s="7" t="s">
        <v>25</v>
      </c>
      <c r="F165" s="7">
        <v>15</v>
      </c>
      <c r="G165" s="7">
        <v>2814.08</v>
      </c>
      <c r="H165" s="8">
        <f t="shared" si="6"/>
        <v>42211.199999999997</v>
      </c>
      <c r="I165" s="8">
        <f>F165*G165*0.58</f>
        <v>24482.495999999996</v>
      </c>
      <c r="J165" s="8">
        <f t="shared" si="7"/>
        <v>17728.704000000002</v>
      </c>
      <c r="K165" s="9">
        <f t="shared" si="8"/>
        <v>0.42000000000000004</v>
      </c>
    </row>
    <row r="166" spans="1:11">
      <c r="A166" s="2">
        <v>165</v>
      </c>
      <c r="B166" s="3" t="s">
        <v>35</v>
      </c>
      <c r="C166" s="3" t="s">
        <v>26</v>
      </c>
      <c r="D166" s="3" t="s">
        <v>22</v>
      </c>
      <c r="E166" s="3" t="s">
        <v>17</v>
      </c>
      <c r="F166" s="3">
        <v>20</v>
      </c>
      <c r="G166" s="3">
        <v>1302.3900000000001</v>
      </c>
      <c r="H166" s="4">
        <f t="shared" si="6"/>
        <v>26047.800000000003</v>
      </c>
      <c r="I166" s="4">
        <f>F166*G166*0.5</f>
        <v>13023.900000000001</v>
      </c>
      <c r="J166" s="4">
        <f t="shared" si="7"/>
        <v>13023.900000000001</v>
      </c>
      <c r="K166" s="5">
        <f t="shared" si="8"/>
        <v>0.5</v>
      </c>
    </row>
    <row r="167" spans="1:11">
      <c r="A167" s="6">
        <v>166</v>
      </c>
      <c r="B167" s="7" t="s">
        <v>35</v>
      </c>
      <c r="C167" s="7" t="s">
        <v>12</v>
      </c>
      <c r="D167" s="7" t="s">
        <v>13</v>
      </c>
      <c r="E167" s="7" t="s">
        <v>17</v>
      </c>
      <c r="F167" s="7">
        <v>22</v>
      </c>
      <c r="G167" s="7">
        <v>4675.54</v>
      </c>
      <c r="H167" s="8">
        <f t="shared" si="6"/>
        <v>102861.88</v>
      </c>
      <c r="I167" s="8">
        <f>F167*G167*0.62</f>
        <v>63774.365600000005</v>
      </c>
      <c r="J167" s="8">
        <f t="shared" si="7"/>
        <v>39087.5144</v>
      </c>
      <c r="K167" s="9">
        <f t="shared" si="8"/>
        <v>0.38</v>
      </c>
    </row>
    <row r="168" spans="1:11">
      <c r="A168" s="2">
        <v>167</v>
      </c>
      <c r="B168" s="3" t="s">
        <v>35</v>
      </c>
      <c r="C168" s="3" t="s">
        <v>24</v>
      </c>
      <c r="D168" s="3" t="s">
        <v>22</v>
      </c>
      <c r="E168" s="3" t="s">
        <v>23</v>
      </c>
      <c r="F168" s="3">
        <v>10</v>
      </c>
      <c r="G168" s="3">
        <v>1216.49</v>
      </c>
      <c r="H168" s="4">
        <f t="shared" si="6"/>
        <v>12164.9</v>
      </c>
      <c r="I168" s="4">
        <f>F168*G168*0.5</f>
        <v>6082.45</v>
      </c>
      <c r="J168" s="4">
        <f t="shared" si="7"/>
        <v>6082.45</v>
      </c>
      <c r="K168" s="5">
        <f t="shared" si="8"/>
        <v>0.5</v>
      </c>
    </row>
    <row r="169" spans="1:11">
      <c r="A169" s="6">
        <v>168</v>
      </c>
      <c r="B169" s="7" t="s">
        <v>35</v>
      </c>
      <c r="C169" s="7" t="s">
        <v>19</v>
      </c>
      <c r="D169" s="7" t="s">
        <v>21</v>
      </c>
      <c r="E169" s="7" t="s">
        <v>14</v>
      </c>
      <c r="F169" s="7">
        <v>35</v>
      </c>
      <c r="G169" s="7">
        <v>1953.19</v>
      </c>
      <c r="H169" s="8">
        <f t="shared" si="6"/>
        <v>68361.650000000009</v>
      </c>
      <c r="I169" s="8">
        <f>F169*G169*0.55</f>
        <v>37598.907500000008</v>
      </c>
      <c r="J169" s="8">
        <f t="shared" si="7"/>
        <v>30762.7425</v>
      </c>
      <c r="K169" s="9">
        <f t="shared" si="8"/>
        <v>0.44999999999999996</v>
      </c>
    </row>
    <row r="170" spans="1:11">
      <c r="A170" s="2">
        <v>169</v>
      </c>
      <c r="B170" s="3" t="s">
        <v>35</v>
      </c>
      <c r="C170" s="3" t="s">
        <v>12</v>
      </c>
      <c r="D170" s="3" t="s">
        <v>18</v>
      </c>
      <c r="E170" s="3" t="s">
        <v>25</v>
      </c>
      <c r="F170" s="3">
        <v>5</v>
      </c>
      <c r="G170" s="3">
        <v>713.62</v>
      </c>
      <c r="H170" s="4">
        <f t="shared" si="6"/>
        <v>3568.1</v>
      </c>
      <c r="I170" s="4">
        <f>F170*G170*0.45</f>
        <v>1605.645</v>
      </c>
      <c r="J170" s="4">
        <f t="shared" si="7"/>
        <v>1962.4549999999999</v>
      </c>
      <c r="K170" s="5">
        <f t="shared" si="8"/>
        <v>0.55000000000000004</v>
      </c>
    </row>
    <row r="171" spans="1:11">
      <c r="A171" s="6">
        <v>170</v>
      </c>
      <c r="B171" s="7" t="s">
        <v>35</v>
      </c>
      <c r="C171" s="7" t="s">
        <v>15</v>
      </c>
      <c r="D171" s="7" t="s">
        <v>21</v>
      </c>
      <c r="E171" s="7" t="s">
        <v>14</v>
      </c>
      <c r="F171" s="7">
        <v>4</v>
      </c>
      <c r="G171" s="7">
        <v>1782.7</v>
      </c>
      <c r="H171" s="8">
        <f t="shared" si="6"/>
        <v>7130.8</v>
      </c>
      <c r="I171" s="8">
        <f>F171*G171*0.55</f>
        <v>3921.9400000000005</v>
      </c>
      <c r="J171" s="8">
        <f t="shared" si="7"/>
        <v>3208.8599999999997</v>
      </c>
      <c r="K171" s="9">
        <f t="shared" si="8"/>
        <v>0.44999999999999996</v>
      </c>
    </row>
    <row r="172" spans="1:11">
      <c r="A172" s="2">
        <v>171</v>
      </c>
      <c r="B172" s="3" t="s">
        <v>35</v>
      </c>
      <c r="C172" s="3" t="s">
        <v>15</v>
      </c>
      <c r="D172" s="3" t="s">
        <v>22</v>
      </c>
      <c r="E172" s="3" t="s">
        <v>16</v>
      </c>
      <c r="F172" s="3">
        <v>20</v>
      </c>
      <c r="G172" s="3">
        <v>1242.3</v>
      </c>
      <c r="H172" s="4">
        <f t="shared" si="6"/>
        <v>24846</v>
      </c>
      <c r="I172" s="4">
        <f>F172*G172*0.5</f>
        <v>12423</v>
      </c>
      <c r="J172" s="4">
        <f t="shared" si="7"/>
        <v>12423</v>
      </c>
      <c r="K172" s="5">
        <f t="shared" si="8"/>
        <v>0.5</v>
      </c>
    </row>
    <row r="173" spans="1:11">
      <c r="A173" s="6">
        <v>172</v>
      </c>
      <c r="B173" s="7" t="s">
        <v>35</v>
      </c>
      <c r="C173" s="7" t="s">
        <v>19</v>
      </c>
      <c r="D173" s="7" t="s">
        <v>20</v>
      </c>
      <c r="E173" s="7" t="s">
        <v>25</v>
      </c>
      <c r="F173" s="7">
        <v>31</v>
      </c>
      <c r="G173" s="7">
        <v>3089</v>
      </c>
      <c r="H173" s="8">
        <f t="shared" si="6"/>
        <v>95759</v>
      </c>
      <c r="I173" s="8">
        <f>F173*G173*0.58</f>
        <v>55540.219999999994</v>
      </c>
      <c r="J173" s="8">
        <f t="shared" si="7"/>
        <v>40218.780000000006</v>
      </c>
      <c r="K173" s="9">
        <f t="shared" si="8"/>
        <v>0.42000000000000004</v>
      </c>
    </row>
    <row r="174" spans="1:11">
      <c r="A174" s="2">
        <v>173</v>
      </c>
      <c r="B174" s="3" t="s">
        <v>35</v>
      </c>
      <c r="C174" s="3" t="s">
        <v>15</v>
      </c>
      <c r="D174" s="3" t="s">
        <v>20</v>
      </c>
      <c r="E174" s="3" t="s">
        <v>23</v>
      </c>
      <c r="F174" s="3">
        <v>34</v>
      </c>
      <c r="G174" s="3">
        <v>3118.67</v>
      </c>
      <c r="H174" s="4">
        <f t="shared" si="6"/>
        <v>106034.78</v>
      </c>
      <c r="I174" s="4">
        <f>F174*G174*0.58</f>
        <v>61500.172399999996</v>
      </c>
      <c r="J174" s="4">
        <f t="shared" si="7"/>
        <v>44534.607600000003</v>
      </c>
      <c r="K174" s="5">
        <f t="shared" si="8"/>
        <v>0.42000000000000004</v>
      </c>
    </row>
    <row r="175" spans="1:11">
      <c r="A175" s="6">
        <v>174</v>
      </c>
      <c r="B175" s="7" t="s">
        <v>35</v>
      </c>
      <c r="C175" s="7" t="s">
        <v>24</v>
      </c>
      <c r="D175" s="7" t="s">
        <v>18</v>
      </c>
      <c r="E175" s="7" t="s">
        <v>23</v>
      </c>
      <c r="F175" s="7">
        <v>24</v>
      </c>
      <c r="G175" s="7">
        <v>639.74</v>
      </c>
      <c r="H175" s="8">
        <f t="shared" si="6"/>
        <v>15353.76</v>
      </c>
      <c r="I175" s="8">
        <f>F175*G175*0.45</f>
        <v>6909.192</v>
      </c>
      <c r="J175" s="8">
        <f t="shared" si="7"/>
        <v>8444.5679999999993</v>
      </c>
      <c r="K175" s="9">
        <f t="shared" si="8"/>
        <v>0.54999999999999993</v>
      </c>
    </row>
    <row r="176" spans="1:11">
      <c r="A176" s="2">
        <v>175</v>
      </c>
      <c r="B176" s="3" t="s">
        <v>35</v>
      </c>
      <c r="C176" s="3" t="s">
        <v>26</v>
      </c>
      <c r="D176" s="3" t="s">
        <v>13</v>
      </c>
      <c r="E176" s="3" t="s">
        <v>14</v>
      </c>
      <c r="F176" s="3">
        <v>29</v>
      </c>
      <c r="G176" s="3">
        <v>4764.3100000000004</v>
      </c>
      <c r="H176" s="4">
        <f t="shared" si="6"/>
        <v>138164.99000000002</v>
      </c>
      <c r="I176" s="4">
        <f>F176*G176*0.62</f>
        <v>85662.293800000014</v>
      </c>
      <c r="J176" s="4">
        <f t="shared" si="7"/>
        <v>52502.696200000006</v>
      </c>
      <c r="K176" s="5">
        <f t="shared" si="8"/>
        <v>0.38</v>
      </c>
    </row>
    <row r="177" spans="1:11">
      <c r="A177" s="6">
        <v>176</v>
      </c>
      <c r="B177" s="7" t="s">
        <v>35</v>
      </c>
      <c r="C177" s="7" t="s">
        <v>19</v>
      </c>
      <c r="D177" s="7" t="s">
        <v>21</v>
      </c>
      <c r="E177" s="7" t="s">
        <v>25</v>
      </c>
      <c r="F177" s="7">
        <v>5</v>
      </c>
      <c r="G177" s="7">
        <v>1920.83</v>
      </c>
      <c r="H177" s="8">
        <f t="shared" si="6"/>
        <v>9604.15</v>
      </c>
      <c r="I177" s="8">
        <f>F177*G177*0.55</f>
        <v>5282.2825000000003</v>
      </c>
      <c r="J177" s="8">
        <f t="shared" si="7"/>
        <v>4321.8674999999994</v>
      </c>
      <c r="K177" s="9">
        <f t="shared" si="8"/>
        <v>0.44999999999999996</v>
      </c>
    </row>
    <row r="178" spans="1:11">
      <c r="A178" s="2">
        <v>177</v>
      </c>
      <c r="B178" s="3" t="s">
        <v>35</v>
      </c>
      <c r="C178" s="3" t="s">
        <v>24</v>
      </c>
      <c r="D178" s="3" t="s">
        <v>21</v>
      </c>
      <c r="E178" s="3" t="s">
        <v>14</v>
      </c>
      <c r="F178" s="3">
        <v>10</v>
      </c>
      <c r="G178" s="3">
        <v>2116.67</v>
      </c>
      <c r="H178" s="4">
        <f t="shared" si="6"/>
        <v>21166.7</v>
      </c>
      <c r="I178" s="4">
        <f>F178*G178*0.55</f>
        <v>11641.685000000001</v>
      </c>
      <c r="J178" s="4">
        <f t="shared" si="7"/>
        <v>9525.0149999999994</v>
      </c>
      <c r="K178" s="5">
        <f t="shared" si="8"/>
        <v>0.44999999999999996</v>
      </c>
    </row>
    <row r="179" spans="1:11">
      <c r="A179" s="6">
        <v>178</v>
      </c>
      <c r="B179" s="7" t="s">
        <v>35</v>
      </c>
      <c r="C179" s="7" t="s">
        <v>15</v>
      </c>
      <c r="D179" s="7" t="s">
        <v>18</v>
      </c>
      <c r="E179" s="7" t="s">
        <v>16</v>
      </c>
      <c r="F179" s="7">
        <v>37</v>
      </c>
      <c r="G179" s="7">
        <v>658.06</v>
      </c>
      <c r="H179" s="8">
        <f t="shared" si="6"/>
        <v>24348.219999999998</v>
      </c>
      <c r="I179" s="8">
        <f>F179*G179*0.45</f>
        <v>10956.698999999999</v>
      </c>
      <c r="J179" s="8">
        <f t="shared" si="7"/>
        <v>13391.520999999999</v>
      </c>
      <c r="K179" s="9">
        <f t="shared" si="8"/>
        <v>0.55000000000000004</v>
      </c>
    </row>
    <row r="180" spans="1:11">
      <c r="A180" s="2">
        <v>179</v>
      </c>
      <c r="B180" s="3" t="s">
        <v>35</v>
      </c>
      <c r="C180" s="3" t="s">
        <v>26</v>
      </c>
      <c r="D180" s="3" t="s">
        <v>13</v>
      </c>
      <c r="E180" s="3" t="s">
        <v>25</v>
      </c>
      <c r="F180" s="3">
        <v>26</v>
      </c>
      <c r="G180" s="3">
        <v>4700.37</v>
      </c>
      <c r="H180" s="4">
        <f t="shared" si="6"/>
        <v>122209.62</v>
      </c>
      <c r="I180" s="4">
        <f>F180*G180*0.62</f>
        <v>75769.964399999997</v>
      </c>
      <c r="J180" s="4">
        <f t="shared" si="7"/>
        <v>46439.655599999998</v>
      </c>
      <c r="K180" s="5">
        <f t="shared" si="8"/>
        <v>0.38</v>
      </c>
    </row>
    <row r="181" spans="1:11">
      <c r="A181" s="6">
        <v>180</v>
      </c>
      <c r="B181" s="7" t="s">
        <v>35</v>
      </c>
      <c r="C181" s="7" t="s">
        <v>19</v>
      </c>
      <c r="D181" s="7" t="s">
        <v>18</v>
      </c>
      <c r="E181" s="7" t="s">
        <v>16</v>
      </c>
      <c r="F181" s="7">
        <v>16</v>
      </c>
      <c r="G181" s="7">
        <v>632.72</v>
      </c>
      <c r="H181" s="8">
        <f t="shared" si="6"/>
        <v>10123.52</v>
      </c>
      <c r="I181" s="8">
        <f>F181*G181*0.45</f>
        <v>4555.5840000000007</v>
      </c>
      <c r="J181" s="8">
        <f t="shared" si="7"/>
        <v>5567.9359999999997</v>
      </c>
      <c r="K181" s="9">
        <f t="shared" si="8"/>
        <v>0.54999999999999993</v>
      </c>
    </row>
    <row r="182" spans="1:11">
      <c r="A182" s="2">
        <v>181</v>
      </c>
      <c r="B182" s="3" t="s">
        <v>36</v>
      </c>
      <c r="C182" s="3" t="s">
        <v>24</v>
      </c>
      <c r="D182" s="3" t="s">
        <v>20</v>
      </c>
      <c r="E182" s="3" t="s">
        <v>23</v>
      </c>
      <c r="F182" s="3">
        <v>34</v>
      </c>
      <c r="G182" s="3">
        <v>2644</v>
      </c>
      <c r="H182" s="4">
        <f t="shared" si="6"/>
        <v>89896</v>
      </c>
      <c r="I182" s="4">
        <f>F182*G182*0.58</f>
        <v>52139.679999999993</v>
      </c>
      <c r="J182" s="4">
        <f t="shared" si="7"/>
        <v>37756.320000000007</v>
      </c>
      <c r="K182" s="5">
        <f t="shared" si="8"/>
        <v>0.4200000000000001</v>
      </c>
    </row>
    <row r="183" spans="1:11">
      <c r="A183" s="6">
        <v>182</v>
      </c>
      <c r="B183" s="7" t="s">
        <v>36</v>
      </c>
      <c r="C183" s="7" t="s">
        <v>26</v>
      </c>
      <c r="D183" s="7" t="s">
        <v>22</v>
      </c>
      <c r="E183" s="7" t="s">
        <v>17</v>
      </c>
      <c r="F183" s="7">
        <v>22</v>
      </c>
      <c r="G183" s="7">
        <v>1236.2</v>
      </c>
      <c r="H183" s="8">
        <f t="shared" si="6"/>
        <v>27196.400000000001</v>
      </c>
      <c r="I183" s="8">
        <f>F183*G183*0.5</f>
        <v>13598.2</v>
      </c>
      <c r="J183" s="8">
        <f t="shared" si="7"/>
        <v>13598.2</v>
      </c>
      <c r="K183" s="9">
        <f t="shared" si="8"/>
        <v>0.5</v>
      </c>
    </row>
    <row r="184" spans="1:11">
      <c r="A184" s="2">
        <v>183</v>
      </c>
      <c r="B184" s="3" t="s">
        <v>36</v>
      </c>
      <c r="C184" s="3" t="s">
        <v>19</v>
      </c>
      <c r="D184" s="3" t="s">
        <v>22</v>
      </c>
      <c r="E184" s="3" t="s">
        <v>16</v>
      </c>
      <c r="F184" s="3">
        <v>17</v>
      </c>
      <c r="G184" s="3">
        <v>1342.14</v>
      </c>
      <c r="H184" s="4">
        <f t="shared" si="6"/>
        <v>22816.38</v>
      </c>
      <c r="I184" s="4">
        <f>F184*G184*0.5</f>
        <v>11408.19</v>
      </c>
      <c r="J184" s="4">
        <f t="shared" si="7"/>
        <v>11408.19</v>
      </c>
      <c r="K184" s="5">
        <f t="shared" si="8"/>
        <v>0.5</v>
      </c>
    </row>
    <row r="185" spans="1:11">
      <c r="A185" s="6">
        <v>184</v>
      </c>
      <c r="B185" s="7" t="s">
        <v>36</v>
      </c>
      <c r="C185" s="7" t="s">
        <v>19</v>
      </c>
      <c r="D185" s="7" t="s">
        <v>13</v>
      </c>
      <c r="E185" s="7" t="s">
        <v>16</v>
      </c>
      <c r="F185" s="7">
        <v>12</v>
      </c>
      <c r="G185" s="7">
        <v>4588.54</v>
      </c>
      <c r="H185" s="8">
        <f t="shared" si="6"/>
        <v>55062.479999999996</v>
      </c>
      <c r="I185" s="8">
        <f>F185*G185*0.62</f>
        <v>34138.7376</v>
      </c>
      <c r="J185" s="8">
        <f t="shared" si="7"/>
        <v>20923.742399999996</v>
      </c>
      <c r="K185" s="9">
        <f t="shared" si="8"/>
        <v>0.37999999999999995</v>
      </c>
    </row>
    <row r="186" spans="1:11">
      <c r="A186" s="2">
        <v>185</v>
      </c>
      <c r="B186" s="3" t="s">
        <v>36</v>
      </c>
      <c r="C186" s="3" t="s">
        <v>15</v>
      </c>
      <c r="D186" s="3" t="s">
        <v>21</v>
      </c>
      <c r="E186" s="3" t="s">
        <v>14</v>
      </c>
      <c r="F186" s="3">
        <v>29</v>
      </c>
      <c r="G186" s="3">
        <v>2065.1999999999998</v>
      </c>
      <c r="H186" s="4">
        <f t="shared" si="6"/>
        <v>59890.799999999996</v>
      </c>
      <c r="I186" s="4">
        <f>F186*G186*0.55</f>
        <v>32939.94</v>
      </c>
      <c r="J186" s="4">
        <f t="shared" si="7"/>
        <v>26950.859999999993</v>
      </c>
      <c r="K186" s="5">
        <f t="shared" si="8"/>
        <v>0.4499999999999999</v>
      </c>
    </row>
    <row r="187" spans="1:11">
      <c r="A187" s="6">
        <v>186</v>
      </c>
      <c r="B187" s="7" t="s">
        <v>36</v>
      </c>
      <c r="C187" s="7" t="s">
        <v>26</v>
      </c>
      <c r="D187" s="7" t="s">
        <v>18</v>
      </c>
      <c r="E187" s="7" t="s">
        <v>23</v>
      </c>
      <c r="F187" s="7">
        <v>38</v>
      </c>
      <c r="G187" s="7">
        <v>616.79999999999995</v>
      </c>
      <c r="H187" s="8">
        <f t="shared" si="6"/>
        <v>23438.399999999998</v>
      </c>
      <c r="I187" s="8">
        <f>F187*G187*0.45</f>
        <v>10547.279999999999</v>
      </c>
      <c r="J187" s="8">
        <f t="shared" si="7"/>
        <v>12891.119999999999</v>
      </c>
      <c r="K187" s="9">
        <f t="shared" si="8"/>
        <v>0.55000000000000004</v>
      </c>
    </row>
    <row r="188" spans="1:11">
      <c r="A188" s="2">
        <v>187</v>
      </c>
      <c r="B188" s="3" t="s">
        <v>36</v>
      </c>
      <c r="C188" s="3" t="s">
        <v>15</v>
      </c>
      <c r="D188" s="3" t="s">
        <v>20</v>
      </c>
      <c r="E188" s="3" t="s">
        <v>25</v>
      </c>
      <c r="F188" s="3">
        <v>11</v>
      </c>
      <c r="G188" s="3">
        <v>3059.86</v>
      </c>
      <c r="H188" s="4">
        <f t="shared" si="6"/>
        <v>33658.46</v>
      </c>
      <c r="I188" s="4">
        <f>F188*G188*0.58</f>
        <v>19521.906799999997</v>
      </c>
      <c r="J188" s="4">
        <f t="shared" si="7"/>
        <v>14136.553200000002</v>
      </c>
      <c r="K188" s="5">
        <f t="shared" si="8"/>
        <v>0.4200000000000001</v>
      </c>
    </row>
    <row r="189" spans="1:11">
      <c r="A189" s="6">
        <v>188</v>
      </c>
      <c r="B189" s="7" t="s">
        <v>36</v>
      </c>
      <c r="C189" s="7" t="s">
        <v>19</v>
      </c>
      <c r="D189" s="7" t="s">
        <v>21</v>
      </c>
      <c r="E189" s="7" t="s">
        <v>14</v>
      </c>
      <c r="F189" s="7">
        <v>35</v>
      </c>
      <c r="G189" s="7">
        <v>1849.53</v>
      </c>
      <c r="H189" s="8">
        <f t="shared" si="6"/>
        <v>64733.549999999996</v>
      </c>
      <c r="I189" s="8">
        <f>F189*G189*0.55</f>
        <v>35603.452499999999</v>
      </c>
      <c r="J189" s="8">
        <f t="shared" si="7"/>
        <v>29130.097499999996</v>
      </c>
      <c r="K189" s="9">
        <f t="shared" si="8"/>
        <v>0.44999999999999996</v>
      </c>
    </row>
    <row r="190" spans="1:11">
      <c r="A190" s="2">
        <v>189</v>
      </c>
      <c r="B190" s="3" t="s">
        <v>36</v>
      </c>
      <c r="C190" s="3" t="s">
        <v>24</v>
      </c>
      <c r="D190" s="3" t="s">
        <v>13</v>
      </c>
      <c r="E190" s="3" t="s">
        <v>14</v>
      </c>
      <c r="F190" s="3">
        <v>40</v>
      </c>
      <c r="G190" s="3">
        <v>4661.93</v>
      </c>
      <c r="H190" s="4">
        <f t="shared" si="6"/>
        <v>186477.2</v>
      </c>
      <c r="I190" s="4">
        <f>F190*G190*0.62</f>
        <v>115615.864</v>
      </c>
      <c r="J190" s="4">
        <f t="shared" si="7"/>
        <v>70861.33600000001</v>
      </c>
      <c r="K190" s="5">
        <f t="shared" si="8"/>
        <v>0.38</v>
      </c>
    </row>
    <row r="191" spans="1:11">
      <c r="A191" s="6">
        <v>190</v>
      </c>
      <c r="B191" s="7" t="s">
        <v>36</v>
      </c>
      <c r="C191" s="7" t="s">
        <v>26</v>
      </c>
      <c r="D191" s="7" t="s">
        <v>18</v>
      </c>
      <c r="E191" s="7" t="s">
        <v>23</v>
      </c>
      <c r="F191" s="7">
        <v>37</v>
      </c>
      <c r="G191" s="7">
        <v>660.96</v>
      </c>
      <c r="H191" s="8">
        <f t="shared" si="6"/>
        <v>24455.52</v>
      </c>
      <c r="I191" s="8">
        <f>F191*G191*0.45</f>
        <v>11004.984</v>
      </c>
      <c r="J191" s="8">
        <f t="shared" si="7"/>
        <v>13450.536</v>
      </c>
      <c r="K191" s="9">
        <f t="shared" si="8"/>
        <v>0.55000000000000004</v>
      </c>
    </row>
    <row r="192" spans="1:11">
      <c r="A192" s="2">
        <v>191</v>
      </c>
      <c r="B192" s="3" t="s">
        <v>36</v>
      </c>
      <c r="C192" s="3" t="s">
        <v>15</v>
      </c>
      <c r="D192" s="3" t="s">
        <v>21</v>
      </c>
      <c r="E192" s="3" t="s">
        <v>25</v>
      </c>
      <c r="F192" s="3">
        <v>27</v>
      </c>
      <c r="G192" s="3">
        <v>1921.03</v>
      </c>
      <c r="H192" s="4">
        <f t="shared" si="6"/>
        <v>51867.81</v>
      </c>
      <c r="I192" s="4">
        <f>F192*G192*0.55</f>
        <v>28527.2955</v>
      </c>
      <c r="J192" s="4">
        <f t="shared" si="7"/>
        <v>23340.514499999997</v>
      </c>
      <c r="K192" s="5">
        <f t="shared" si="8"/>
        <v>0.44999999999999996</v>
      </c>
    </row>
    <row r="193" spans="1:11">
      <c r="A193" s="6">
        <v>192</v>
      </c>
      <c r="B193" s="7" t="s">
        <v>36</v>
      </c>
      <c r="C193" s="7" t="s">
        <v>26</v>
      </c>
      <c r="D193" s="7" t="s">
        <v>21</v>
      </c>
      <c r="E193" s="7" t="s">
        <v>17</v>
      </c>
      <c r="F193" s="7">
        <v>39</v>
      </c>
      <c r="G193" s="7">
        <v>1893.53</v>
      </c>
      <c r="H193" s="8">
        <f t="shared" si="6"/>
        <v>73847.67</v>
      </c>
      <c r="I193" s="8">
        <f>F193*G193*0.55</f>
        <v>40616.218500000003</v>
      </c>
      <c r="J193" s="8">
        <f t="shared" si="7"/>
        <v>33231.451499999996</v>
      </c>
      <c r="K193" s="9">
        <f t="shared" si="8"/>
        <v>0.44999999999999996</v>
      </c>
    </row>
    <row r="194" spans="1:11">
      <c r="A194" s="2">
        <v>193</v>
      </c>
      <c r="B194" s="3" t="s">
        <v>36</v>
      </c>
      <c r="C194" s="3" t="s">
        <v>12</v>
      </c>
      <c r="D194" s="3" t="s">
        <v>18</v>
      </c>
      <c r="E194" s="3" t="s">
        <v>14</v>
      </c>
      <c r="F194" s="3">
        <v>33</v>
      </c>
      <c r="G194" s="3">
        <v>689.68</v>
      </c>
      <c r="H194" s="4">
        <f t="shared" ref="H194:H217" si="9">F194*G194</f>
        <v>22759.439999999999</v>
      </c>
      <c r="I194" s="4">
        <f>F194*G194*0.45</f>
        <v>10241.748</v>
      </c>
      <c r="J194" s="4">
        <f t="shared" ref="J194:J217" si="10">H194-I194</f>
        <v>12517.691999999999</v>
      </c>
      <c r="K194" s="5">
        <f t="shared" ref="K194:K217" si="11">IF(H194=0,0,J194/H194)</f>
        <v>0.55000000000000004</v>
      </c>
    </row>
    <row r="195" spans="1:11">
      <c r="A195" s="6">
        <v>194</v>
      </c>
      <c r="B195" s="7" t="s">
        <v>36</v>
      </c>
      <c r="C195" s="7" t="s">
        <v>19</v>
      </c>
      <c r="D195" s="7" t="s">
        <v>18</v>
      </c>
      <c r="E195" s="7" t="s">
        <v>17</v>
      </c>
      <c r="F195" s="7">
        <v>34</v>
      </c>
      <c r="G195" s="7">
        <v>723.43</v>
      </c>
      <c r="H195" s="8">
        <f t="shared" si="9"/>
        <v>24596.62</v>
      </c>
      <c r="I195" s="8">
        <f>F195*G195*0.45</f>
        <v>11068.478999999999</v>
      </c>
      <c r="J195" s="8">
        <f t="shared" si="10"/>
        <v>13528.141</v>
      </c>
      <c r="K195" s="9">
        <f t="shared" si="11"/>
        <v>0.55000000000000004</v>
      </c>
    </row>
    <row r="196" spans="1:11">
      <c r="A196" s="2">
        <v>195</v>
      </c>
      <c r="B196" s="3" t="s">
        <v>36</v>
      </c>
      <c r="C196" s="3" t="s">
        <v>15</v>
      </c>
      <c r="D196" s="3" t="s">
        <v>20</v>
      </c>
      <c r="E196" s="3" t="s">
        <v>25</v>
      </c>
      <c r="F196" s="3">
        <v>24</v>
      </c>
      <c r="G196" s="3">
        <v>3063.03</v>
      </c>
      <c r="H196" s="4">
        <f t="shared" si="9"/>
        <v>73512.72</v>
      </c>
      <c r="I196" s="4">
        <f>F196*G196*0.58</f>
        <v>42637.3776</v>
      </c>
      <c r="J196" s="4">
        <f t="shared" si="10"/>
        <v>30875.342400000001</v>
      </c>
      <c r="K196" s="5">
        <f t="shared" si="11"/>
        <v>0.42</v>
      </c>
    </row>
    <row r="197" spans="1:11">
      <c r="A197" s="6">
        <v>196</v>
      </c>
      <c r="B197" s="7" t="s">
        <v>36</v>
      </c>
      <c r="C197" s="7" t="s">
        <v>12</v>
      </c>
      <c r="D197" s="7" t="s">
        <v>18</v>
      </c>
      <c r="E197" s="7" t="s">
        <v>25</v>
      </c>
      <c r="F197" s="7">
        <v>32</v>
      </c>
      <c r="G197" s="7">
        <v>600</v>
      </c>
      <c r="H197" s="8">
        <f t="shared" si="9"/>
        <v>19200</v>
      </c>
      <c r="I197" s="8">
        <f>F197*G197*0.45</f>
        <v>8640</v>
      </c>
      <c r="J197" s="8">
        <f t="shared" si="10"/>
        <v>10560</v>
      </c>
      <c r="K197" s="9">
        <f t="shared" si="11"/>
        <v>0.55000000000000004</v>
      </c>
    </row>
    <row r="198" spans="1:11">
      <c r="A198" s="2">
        <v>197</v>
      </c>
      <c r="B198" s="3" t="s">
        <v>36</v>
      </c>
      <c r="C198" s="3" t="s">
        <v>19</v>
      </c>
      <c r="D198" s="3" t="s">
        <v>20</v>
      </c>
      <c r="E198" s="3" t="s">
        <v>17</v>
      </c>
      <c r="F198" s="3">
        <v>7</v>
      </c>
      <c r="G198" s="3">
        <v>2838.91</v>
      </c>
      <c r="H198" s="4">
        <f t="shared" si="9"/>
        <v>19872.37</v>
      </c>
      <c r="I198" s="4">
        <f>F198*G198*0.58</f>
        <v>11525.974599999998</v>
      </c>
      <c r="J198" s="4">
        <f t="shared" si="10"/>
        <v>8346.3954000000012</v>
      </c>
      <c r="K198" s="5">
        <f t="shared" si="11"/>
        <v>0.4200000000000001</v>
      </c>
    </row>
    <row r="199" spans="1:11">
      <c r="A199" s="6">
        <v>198</v>
      </c>
      <c r="B199" s="7" t="s">
        <v>36</v>
      </c>
      <c r="C199" s="7" t="s">
        <v>24</v>
      </c>
      <c r="D199" s="7" t="s">
        <v>21</v>
      </c>
      <c r="E199" s="7" t="s">
        <v>25</v>
      </c>
      <c r="F199" s="7">
        <v>28</v>
      </c>
      <c r="G199" s="7">
        <v>1994.94</v>
      </c>
      <c r="H199" s="8">
        <f t="shared" si="9"/>
        <v>55858.32</v>
      </c>
      <c r="I199" s="8">
        <f>F199*G199*0.55</f>
        <v>30722.076000000001</v>
      </c>
      <c r="J199" s="8">
        <f t="shared" si="10"/>
        <v>25136.243999999999</v>
      </c>
      <c r="K199" s="9">
        <f t="shared" si="11"/>
        <v>0.44999999999999996</v>
      </c>
    </row>
    <row r="200" spans="1:11">
      <c r="A200" s="2">
        <v>199</v>
      </c>
      <c r="B200" s="3" t="s">
        <v>37</v>
      </c>
      <c r="C200" s="3" t="s">
        <v>15</v>
      </c>
      <c r="D200" s="3" t="s">
        <v>21</v>
      </c>
      <c r="E200" s="3" t="s">
        <v>23</v>
      </c>
      <c r="F200" s="3">
        <v>23</v>
      </c>
      <c r="G200" s="3">
        <v>1986.18</v>
      </c>
      <c r="H200" s="4">
        <f t="shared" si="9"/>
        <v>45682.14</v>
      </c>
      <c r="I200" s="4">
        <f>F200*G200*0.55</f>
        <v>25125.177000000003</v>
      </c>
      <c r="J200" s="4">
        <f t="shared" si="10"/>
        <v>20556.962999999996</v>
      </c>
      <c r="K200" s="5">
        <f t="shared" si="11"/>
        <v>0.4499999999999999</v>
      </c>
    </row>
    <row r="201" spans="1:11">
      <c r="A201" s="6">
        <v>200</v>
      </c>
      <c r="B201" s="7" t="s">
        <v>37</v>
      </c>
      <c r="C201" s="7" t="s">
        <v>15</v>
      </c>
      <c r="D201" s="7" t="s">
        <v>18</v>
      </c>
      <c r="E201" s="7" t="s">
        <v>16</v>
      </c>
      <c r="F201" s="7">
        <v>7</v>
      </c>
      <c r="G201" s="7">
        <v>628.52</v>
      </c>
      <c r="H201" s="8">
        <f t="shared" si="9"/>
        <v>4399.6399999999994</v>
      </c>
      <c r="I201" s="8">
        <f>F201*G201*0.45</f>
        <v>1979.8379999999997</v>
      </c>
      <c r="J201" s="8">
        <f t="shared" si="10"/>
        <v>2419.8019999999997</v>
      </c>
      <c r="K201" s="9">
        <f t="shared" si="11"/>
        <v>0.55000000000000004</v>
      </c>
    </row>
    <row r="202" spans="1:11">
      <c r="A202" s="2">
        <v>201</v>
      </c>
      <c r="B202" s="3" t="s">
        <v>37</v>
      </c>
      <c r="C202" s="3" t="s">
        <v>26</v>
      </c>
      <c r="D202" s="3" t="s">
        <v>21</v>
      </c>
      <c r="E202" s="3" t="s">
        <v>16</v>
      </c>
      <c r="F202" s="3">
        <v>30</v>
      </c>
      <c r="G202" s="3">
        <v>2119.77</v>
      </c>
      <c r="H202" s="4">
        <f t="shared" si="9"/>
        <v>63593.1</v>
      </c>
      <c r="I202" s="4">
        <f>F202*G202*0.55</f>
        <v>34976.205000000002</v>
      </c>
      <c r="J202" s="4">
        <f t="shared" si="10"/>
        <v>28616.894999999997</v>
      </c>
      <c r="K202" s="5">
        <f t="shared" si="11"/>
        <v>0.44999999999999996</v>
      </c>
    </row>
    <row r="203" spans="1:11">
      <c r="A203" s="6">
        <v>202</v>
      </c>
      <c r="B203" s="7" t="s">
        <v>37</v>
      </c>
      <c r="C203" s="7" t="s">
        <v>19</v>
      </c>
      <c r="D203" s="7" t="s">
        <v>13</v>
      </c>
      <c r="E203" s="7" t="s">
        <v>17</v>
      </c>
      <c r="F203" s="7">
        <v>22</v>
      </c>
      <c r="G203" s="7">
        <v>4953.08</v>
      </c>
      <c r="H203" s="8">
        <f t="shared" si="9"/>
        <v>108967.76</v>
      </c>
      <c r="I203" s="8">
        <f>F203*G203*0.62</f>
        <v>67560.011199999994</v>
      </c>
      <c r="J203" s="8">
        <f t="shared" si="10"/>
        <v>41407.748800000001</v>
      </c>
      <c r="K203" s="9">
        <f t="shared" si="11"/>
        <v>0.38</v>
      </c>
    </row>
    <row r="204" spans="1:11">
      <c r="A204" s="2">
        <v>203</v>
      </c>
      <c r="B204" s="3" t="s">
        <v>37</v>
      </c>
      <c r="C204" s="3" t="s">
        <v>24</v>
      </c>
      <c r="D204" s="3" t="s">
        <v>13</v>
      </c>
      <c r="E204" s="3" t="s">
        <v>16</v>
      </c>
      <c r="F204" s="3">
        <v>21</v>
      </c>
      <c r="G204" s="3">
        <v>4462.62</v>
      </c>
      <c r="H204" s="4">
        <f t="shared" si="9"/>
        <v>93715.02</v>
      </c>
      <c r="I204" s="4">
        <f>F204*G204*0.62</f>
        <v>58103.312400000003</v>
      </c>
      <c r="J204" s="4">
        <f t="shared" si="10"/>
        <v>35611.707600000002</v>
      </c>
      <c r="K204" s="5">
        <f t="shared" si="11"/>
        <v>0.38</v>
      </c>
    </row>
    <row r="205" spans="1:11">
      <c r="A205" s="6">
        <v>204</v>
      </c>
      <c r="B205" s="7" t="s">
        <v>37</v>
      </c>
      <c r="C205" s="7" t="s">
        <v>26</v>
      </c>
      <c r="D205" s="7" t="s">
        <v>18</v>
      </c>
      <c r="E205" s="7" t="s">
        <v>17</v>
      </c>
      <c r="F205" s="7">
        <v>36</v>
      </c>
      <c r="G205" s="7">
        <v>651.57000000000005</v>
      </c>
      <c r="H205" s="8">
        <f t="shared" si="9"/>
        <v>23456.52</v>
      </c>
      <c r="I205" s="8">
        <f>F205*G205*0.45</f>
        <v>10555.434000000001</v>
      </c>
      <c r="J205" s="8">
        <f t="shared" si="10"/>
        <v>12901.085999999999</v>
      </c>
      <c r="K205" s="9">
        <f t="shared" si="11"/>
        <v>0.54999999999999993</v>
      </c>
    </row>
    <row r="206" spans="1:11">
      <c r="A206" s="2">
        <v>205</v>
      </c>
      <c r="B206" s="3" t="s">
        <v>37</v>
      </c>
      <c r="C206" s="3" t="s">
        <v>26</v>
      </c>
      <c r="D206" s="3" t="s">
        <v>20</v>
      </c>
      <c r="E206" s="3" t="s">
        <v>17</v>
      </c>
      <c r="F206" s="3">
        <v>8</v>
      </c>
      <c r="G206" s="3">
        <v>2917.32</v>
      </c>
      <c r="H206" s="4">
        <f t="shared" si="9"/>
        <v>23338.560000000001</v>
      </c>
      <c r="I206" s="4">
        <f>F206*G206*0.58</f>
        <v>13536.364799999999</v>
      </c>
      <c r="J206" s="4">
        <f t="shared" si="10"/>
        <v>9802.1952000000019</v>
      </c>
      <c r="K206" s="5">
        <f t="shared" si="11"/>
        <v>0.42000000000000004</v>
      </c>
    </row>
    <row r="207" spans="1:11">
      <c r="A207" s="6">
        <v>206</v>
      </c>
      <c r="B207" s="7" t="s">
        <v>37</v>
      </c>
      <c r="C207" s="7" t="s">
        <v>15</v>
      </c>
      <c r="D207" s="7" t="s">
        <v>18</v>
      </c>
      <c r="E207" s="7" t="s">
        <v>17</v>
      </c>
      <c r="F207" s="7">
        <v>34</v>
      </c>
      <c r="G207" s="7">
        <v>716.67</v>
      </c>
      <c r="H207" s="8">
        <f t="shared" si="9"/>
        <v>24366.78</v>
      </c>
      <c r="I207" s="8">
        <f>F207*G207*0.45</f>
        <v>10965.050999999999</v>
      </c>
      <c r="J207" s="8">
        <f t="shared" si="10"/>
        <v>13401.728999999999</v>
      </c>
      <c r="K207" s="9">
        <f t="shared" si="11"/>
        <v>0.55000000000000004</v>
      </c>
    </row>
    <row r="208" spans="1:11">
      <c r="A208" s="2">
        <v>207</v>
      </c>
      <c r="B208" s="3" t="s">
        <v>37</v>
      </c>
      <c r="C208" s="3" t="s">
        <v>26</v>
      </c>
      <c r="D208" s="3" t="s">
        <v>20</v>
      </c>
      <c r="E208" s="3" t="s">
        <v>23</v>
      </c>
      <c r="F208" s="3">
        <v>19</v>
      </c>
      <c r="G208" s="3">
        <v>2833.36</v>
      </c>
      <c r="H208" s="4">
        <f t="shared" si="9"/>
        <v>53833.840000000004</v>
      </c>
      <c r="I208" s="4">
        <f>F208*G208*0.58</f>
        <v>31223.627199999999</v>
      </c>
      <c r="J208" s="4">
        <f t="shared" si="10"/>
        <v>22610.212800000005</v>
      </c>
      <c r="K208" s="5">
        <f t="shared" si="11"/>
        <v>0.42000000000000004</v>
      </c>
    </row>
    <row r="209" spans="1:11">
      <c r="A209" s="6">
        <v>208</v>
      </c>
      <c r="B209" s="7" t="s">
        <v>37</v>
      </c>
      <c r="C209" s="7" t="s">
        <v>19</v>
      </c>
      <c r="D209" s="7" t="s">
        <v>13</v>
      </c>
      <c r="E209" s="7" t="s">
        <v>14</v>
      </c>
      <c r="F209" s="7">
        <v>37</v>
      </c>
      <c r="G209" s="7">
        <v>4282.18</v>
      </c>
      <c r="H209" s="8">
        <f t="shared" si="9"/>
        <v>158440.66</v>
      </c>
      <c r="I209" s="8">
        <f>F209*G209*0.62</f>
        <v>98233.209199999998</v>
      </c>
      <c r="J209" s="8">
        <f t="shared" si="10"/>
        <v>60207.450800000006</v>
      </c>
      <c r="K209" s="9">
        <f t="shared" si="11"/>
        <v>0.38</v>
      </c>
    </row>
    <row r="210" spans="1:11">
      <c r="A210" s="2">
        <v>209</v>
      </c>
      <c r="B210" s="3" t="s">
        <v>37</v>
      </c>
      <c r="C210" s="3" t="s">
        <v>24</v>
      </c>
      <c r="D210" s="3" t="s">
        <v>18</v>
      </c>
      <c r="E210" s="3" t="s">
        <v>25</v>
      </c>
      <c r="F210" s="3">
        <v>22</v>
      </c>
      <c r="G210" s="3">
        <v>681.06</v>
      </c>
      <c r="H210" s="4">
        <f t="shared" si="9"/>
        <v>14983.32</v>
      </c>
      <c r="I210" s="4">
        <f>F210*G210*0.45</f>
        <v>6742.4939999999997</v>
      </c>
      <c r="J210" s="4">
        <f t="shared" si="10"/>
        <v>8240.8260000000009</v>
      </c>
      <c r="K210" s="5">
        <f t="shared" si="11"/>
        <v>0.55000000000000004</v>
      </c>
    </row>
    <row r="211" spans="1:11">
      <c r="A211" s="6">
        <v>210</v>
      </c>
      <c r="B211" s="7" t="s">
        <v>37</v>
      </c>
      <c r="C211" s="7" t="s">
        <v>24</v>
      </c>
      <c r="D211" s="7" t="s">
        <v>18</v>
      </c>
      <c r="E211" s="7" t="s">
        <v>23</v>
      </c>
      <c r="F211" s="7">
        <v>22</v>
      </c>
      <c r="G211" s="7">
        <v>623.9</v>
      </c>
      <c r="H211" s="8">
        <f t="shared" si="9"/>
        <v>13725.8</v>
      </c>
      <c r="I211" s="8">
        <f>F211*G211*0.45</f>
        <v>6176.61</v>
      </c>
      <c r="J211" s="8">
        <f t="shared" si="10"/>
        <v>7549.19</v>
      </c>
      <c r="K211" s="9">
        <f t="shared" si="11"/>
        <v>0.55000000000000004</v>
      </c>
    </row>
    <row r="212" spans="1:11">
      <c r="A212" s="2">
        <v>211</v>
      </c>
      <c r="B212" s="3" t="s">
        <v>37</v>
      </c>
      <c r="C212" s="3" t="s">
        <v>19</v>
      </c>
      <c r="D212" s="3" t="s">
        <v>18</v>
      </c>
      <c r="E212" s="3" t="s">
        <v>16</v>
      </c>
      <c r="F212" s="3">
        <v>18</v>
      </c>
      <c r="G212" s="3">
        <v>647.58000000000004</v>
      </c>
      <c r="H212" s="4">
        <f t="shared" si="9"/>
        <v>11656.44</v>
      </c>
      <c r="I212" s="4">
        <f>F212*G212*0.45</f>
        <v>5245.3980000000001</v>
      </c>
      <c r="J212" s="4">
        <f t="shared" si="10"/>
        <v>6411.0420000000004</v>
      </c>
      <c r="K212" s="5">
        <f t="shared" si="11"/>
        <v>0.55000000000000004</v>
      </c>
    </row>
    <row r="213" spans="1:11">
      <c r="A213" s="6">
        <v>212</v>
      </c>
      <c r="B213" s="7" t="s">
        <v>37</v>
      </c>
      <c r="C213" s="7" t="s">
        <v>15</v>
      </c>
      <c r="D213" s="7" t="s">
        <v>21</v>
      </c>
      <c r="E213" s="7" t="s">
        <v>14</v>
      </c>
      <c r="F213" s="7">
        <v>21</v>
      </c>
      <c r="G213" s="7">
        <v>1756.34</v>
      </c>
      <c r="H213" s="8">
        <f t="shared" si="9"/>
        <v>36883.14</v>
      </c>
      <c r="I213" s="8">
        <f>F213*G213*0.55</f>
        <v>20285.727000000003</v>
      </c>
      <c r="J213" s="8">
        <f t="shared" si="10"/>
        <v>16597.412999999997</v>
      </c>
      <c r="K213" s="9">
        <f t="shared" si="11"/>
        <v>0.4499999999999999</v>
      </c>
    </row>
    <row r="214" spans="1:11">
      <c r="A214" s="2">
        <v>213</v>
      </c>
      <c r="B214" s="3" t="s">
        <v>37</v>
      </c>
      <c r="C214" s="3" t="s">
        <v>24</v>
      </c>
      <c r="D214" s="3" t="s">
        <v>18</v>
      </c>
      <c r="E214" s="3" t="s">
        <v>16</v>
      </c>
      <c r="F214" s="3">
        <v>39</v>
      </c>
      <c r="G214" s="3">
        <v>710.46</v>
      </c>
      <c r="H214" s="4">
        <f t="shared" si="9"/>
        <v>27707.940000000002</v>
      </c>
      <c r="I214" s="4">
        <f>F214*G214*0.45</f>
        <v>12468.573000000002</v>
      </c>
      <c r="J214" s="4">
        <f t="shared" si="10"/>
        <v>15239.367</v>
      </c>
      <c r="K214" s="5">
        <f t="shared" si="11"/>
        <v>0.54999999999999993</v>
      </c>
    </row>
    <row r="215" spans="1:11">
      <c r="A215" s="6">
        <v>214</v>
      </c>
      <c r="B215" s="7" t="s">
        <v>37</v>
      </c>
      <c r="C215" s="7" t="s">
        <v>15</v>
      </c>
      <c r="D215" s="7" t="s">
        <v>13</v>
      </c>
      <c r="E215" s="7" t="s">
        <v>23</v>
      </c>
      <c r="F215" s="7">
        <v>21</v>
      </c>
      <c r="G215" s="7">
        <v>4838.17</v>
      </c>
      <c r="H215" s="8">
        <f t="shared" si="9"/>
        <v>101601.57</v>
      </c>
      <c r="I215" s="8">
        <f>F215*G215*0.62</f>
        <v>62992.973400000003</v>
      </c>
      <c r="J215" s="8">
        <f t="shared" si="10"/>
        <v>38608.596600000004</v>
      </c>
      <c r="K215" s="9">
        <f t="shared" si="11"/>
        <v>0.38</v>
      </c>
    </row>
    <row r="216" spans="1:11">
      <c r="A216" s="2">
        <v>215</v>
      </c>
      <c r="B216" s="3" t="s">
        <v>37</v>
      </c>
      <c r="C216" s="3" t="s">
        <v>15</v>
      </c>
      <c r="D216" s="3" t="s">
        <v>20</v>
      </c>
      <c r="E216" s="3" t="s">
        <v>14</v>
      </c>
      <c r="F216" s="3">
        <v>17</v>
      </c>
      <c r="G216" s="3">
        <v>2932.51</v>
      </c>
      <c r="H216" s="4">
        <f t="shared" si="9"/>
        <v>49852.670000000006</v>
      </c>
      <c r="I216" s="4">
        <f>F216*G216*0.58</f>
        <v>28914.548600000002</v>
      </c>
      <c r="J216" s="4">
        <f t="shared" si="10"/>
        <v>20938.121400000004</v>
      </c>
      <c r="K216" s="5">
        <f t="shared" si="11"/>
        <v>0.42000000000000004</v>
      </c>
    </row>
    <row r="217" spans="1:11">
      <c r="A217" s="6">
        <v>216</v>
      </c>
      <c r="B217" s="7" t="s">
        <v>37</v>
      </c>
      <c r="C217" s="7" t="s">
        <v>24</v>
      </c>
      <c r="D217" s="7" t="s">
        <v>22</v>
      </c>
      <c r="E217" s="7" t="s">
        <v>17</v>
      </c>
      <c r="F217" s="7">
        <v>9</v>
      </c>
      <c r="G217" s="7">
        <v>1320.82</v>
      </c>
      <c r="H217" s="8">
        <f t="shared" si="9"/>
        <v>11887.38</v>
      </c>
      <c r="I217" s="8">
        <f>F217*G217*0.5</f>
        <v>5943.69</v>
      </c>
      <c r="J217" s="8">
        <f t="shared" si="10"/>
        <v>5943.69</v>
      </c>
      <c r="K217" s="9">
        <f t="shared" si="11"/>
        <v>0.5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showGridLines="0" showRowColHeaders="0" rightToLeft="1" tabSelected="1" zoomScale="50" zoomScaleNormal="50" workbookViewId="0">
      <selection activeCell="R9" sqref="R9"/>
    </sheetView>
  </sheetViews>
  <sheetFormatPr defaultColWidth="8.7109375" defaultRowHeight="15"/>
  <cols>
    <col min="1" max="1" width="16" customWidth="1"/>
    <col min="2" max="2" width="22" customWidth="1"/>
    <col min="3" max="3" width="18" customWidth="1"/>
    <col min="4" max="4" width="2" customWidth="1"/>
    <col min="5" max="5" width="20" customWidth="1"/>
    <col min="6" max="6" width="22" customWidth="1"/>
    <col min="7" max="7" width="14" customWidth="1"/>
    <col min="8" max="8" width="2" customWidth="1"/>
    <col min="9" max="9" width="14" customWidth="1"/>
    <col min="10" max="10" width="22" customWidth="1"/>
    <col min="11" max="11" width="16" customWidth="1"/>
    <col min="12" max="12" width="2" customWidth="1"/>
  </cols>
  <sheetData>
    <row r="1" spans="1:12" ht="45" customHeight="1">
      <c r="A1" s="45" t="s">
        <v>58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19.5" customHeigh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ht="27.75" customHeight="1">
      <c r="A3" s="39" t="s">
        <v>38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5" spans="1:12" ht="21.75" customHeight="1">
      <c r="A5" s="40" t="s">
        <v>39</v>
      </c>
      <c r="B5" s="40"/>
      <c r="C5" s="40"/>
      <c r="D5" s="41" t="s">
        <v>40</v>
      </c>
      <c r="E5" s="41"/>
      <c r="F5" s="41"/>
      <c r="G5" s="42" t="s">
        <v>41</v>
      </c>
      <c r="H5" s="42"/>
      <c r="I5" s="42"/>
      <c r="J5" s="43" t="s">
        <v>42</v>
      </c>
      <c r="K5" s="43"/>
      <c r="L5" s="43"/>
    </row>
    <row r="6" spans="1:12" ht="36" customHeight="1">
      <c r="A6" s="30">
        <f>SUM('📋 Raw Data'!H2:H217)</f>
        <v>10482341.790000001</v>
      </c>
      <c r="B6" s="30"/>
      <c r="C6" s="30"/>
      <c r="D6" s="31">
        <f>COUNTA('📋 Raw Data'!A2:A217)</f>
        <v>216</v>
      </c>
      <c r="E6" s="31"/>
      <c r="F6" s="31"/>
      <c r="G6" s="32">
        <f>SUM('📋 Raw Data'!J2:J217)</f>
        <v>4483401.045400002</v>
      </c>
      <c r="H6" s="32"/>
      <c r="I6" s="32"/>
      <c r="J6" s="33">
        <f>AVERAGE('📋 Raw Data'!K2:K217)</f>
        <v>0.46115740740740746</v>
      </c>
      <c r="K6" s="33"/>
      <c r="L6" s="33"/>
    </row>
    <row r="7" spans="1:12" ht="30" customHeight="1">
      <c r="A7" s="34"/>
      <c r="B7" s="34"/>
      <c r="C7" s="34"/>
      <c r="D7" s="35"/>
      <c r="E7" s="35"/>
      <c r="F7" s="35"/>
      <c r="G7" s="36"/>
      <c r="H7" s="36"/>
      <c r="I7" s="36"/>
      <c r="J7" s="37"/>
      <c r="K7" s="37"/>
      <c r="L7" s="37"/>
    </row>
    <row r="8" spans="1:12" ht="18" customHeight="1"/>
    <row r="9" spans="1:12" ht="25.5" customHeight="1">
      <c r="A9" s="26" t="s">
        <v>43</v>
      </c>
      <c r="B9" s="26"/>
      <c r="C9" s="26"/>
      <c r="E9" s="27" t="s">
        <v>44</v>
      </c>
      <c r="F9" s="27"/>
      <c r="G9" s="27"/>
      <c r="I9" s="28" t="s">
        <v>45</v>
      </c>
      <c r="J9" s="28"/>
      <c r="K9" s="28"/>
    </row>
    <row r="10" spans="1:12">
      <c r="A10" s="10" t="s">
        <v>1</v>
      </c>
      <c r="B10" s="10" t="s">
        <v>46</v>
      </c>
      <c r="C10" s="10" t="s">
        <v>47</v>
      </c>
      <c r="E10" s="10" t="s">
        <v>3</v>
      </c>
      <c r="F10" s="10" t="s">
        <v>46</v>
      </c>
      <c r="G10" s="10" t="s">
        <v>5</v>
      </c>
      <c r="I10" s="10" t="s">
        <v>2</v>
      </c>
      <c r="J10" s="10" t="s">
        <v>46</v>
      </c>
      <c r="K10" s="10" t="s">
        <v>48</v>
      </c>
    </row>
    <row r="11" spans="1:12">
      <c r="A11" s="11" t="s">
        <v>11</v>
      </c>
      <c r="B11" s="12">
        <f>SUMPRODUCT(('📋 Raw Data'!B$2:B$217=A11)*'📋 Raw Data'!H$2:H$217)</f>
        <v>1113303.8699999999</v>
      </c>
      <c r="C11" s="13">
        <f>SUMPRODUCT(('📋 Raw Data'!B$2:B$217=A11)*'📋 Raw Data'!J$2:J$217)</f>
        <v>446747.07409999997</v>
      </c>
      <c r="E11" s="11" t="s">
        <v>13</v>
      </c>
      <c r="F11" s="12">
        <f>SUMPRODUCT(('📋 Raw Data'!D$2:D$217=E11)*'📋 Raw Data'!H$2:H$217)</f>
        <v>4212699.1300000008</v>
      </c>
      <c r="G11" s="14">
        <f>SUMPRODUCT(('📋 Raw Data'!D$2:D$217=E11)*'📋 Raw Data'!F$2:F$217)</f>
        <v>914</v>
      </c>
      <c r="I11" s="11" t="s">
        <v>12</v>
      </c>
      <c r="J11" s="12">
        <f>SUMPRODUCT(('📋 Raw Data'!C$2:C$217=I11)*'📋 Raw Data'!H$2:H$217)</f>
        <v>1668953.31</v>
      </c>
      <c r="K11" s="14">
        <f>COUNTIF('📋 Raw Data'!C$2:C$217,I11)</f>
        <v>35</v>
      </c>
    </row>
    <row r="12" spans="1:12">
      <c r="A12" s="15" t="s">
        <v>27</v>
      </c>
      <c r="B12" s="16">
        <f>SUMPRODUCT(('📋 Raw Data'!B$2:B$217=A12)*'📋 Raw Data'!H$2:H$217)</f>
        <v>824441.54999999993</v>
      </c>
      <c r="C12" s="17">
        <f>SUMPRODUCT(('📋 Raw Data'!B$2:B$217=A12)*'📋 Raw Data'!J$2:J$217)</f>
        <v>360621.26360000001</v>
      </c>
      <c r="E12" s="15" t="s">
        <v>20</v>
      </c>
      <c r="F12" s="16">
        <f>SUMPRODUCT(('📋 Raw Data'!D$2:D$217=E12)*'📋 Raw Data'!H$2:H$217)</f>
        <v>2442295.1</v>
      </c>
      <c r="G12" s="18">
        <f>SUMPRODUCT(('📋 Raw Data'!D$2:D$217=E12)*'📋 Raw Data'!F$2:F$217)</f>
        <v>872</v>
      </c>
      <c r="I12" s="15" t="s">
        <v>26</v>
      </c>
      <c r="J12" s="16">
        <f>SUMPRODUCT(('📋 Raw Data'!C$2:C$217=I12)*'📋 Raw Data'!H$2:H$217)</f>
        <v>1903985.09</v>
      </c>
      <c r="K12" s="18">
        <f>COUNTIF('📋 Raw Data'!C$2:C$217,I12)</f>
        <v>41</v>
      </c>
    </row>
    <row r="13" spans="1:12">
      <c r="A13" s="11" t="s">
        <v>28</v>
      </c>
      <c r="B13" s="12">
        <f>SUMPRODUCT(('📋 Raw Data'!B$2:B$217=A13)*'📋 Raw Data'!H$2:H$217)</f>
        <v>942205.25</v>
      </c>
      <c r="C13" s="13">
        <f>SUMPRODUCT(('📋 Raw Data'!B$2:B$217=A13)*'📋 Raw Data'!J$2:J$217)</f>
        <v>385904.51630000002</v>
      </c>
      <c r="E13" s="11" t="s">
        <v>21</v>
      </c>
      <c r="F13" s="12">
        <f>SUMPRODUCT(('📋 Raw Data'!D$2:D$217=E13)*'📋 Raw Data'!H$2:H$217)</f>
        <v>1837139.6099999994</v>
      </c>
      <c r="G13" s="14">
        <f>SUMPRODUCT(('📋 Raw Data'!D$2:D$217=E13)*'📋 Raw Data'!F$2:F$217)</f>
        <v>952</v>
      </c>
      <c r="I13" s="11" t="s">
        <v>24</v>
      </c>
      <c r="J13" s="12">
        <f>SUMPRODUCT(('📋 Raw Data'!C$2:C$217=I13)*'📋 Raw Data'!H$2:H$217)</f>
        <v>1983703.4799999997</v>
      </c>
      <c r="K13" s="14">
        <f>COUNTIF('📋 Raw Data'!C$2:C$217,I13)</f>
        <v>43</v>
      </c>
    </row>
    <row r="14" spans="1:12">
      <c r="A14" s="15" t="s">
        <v>29</v>
      </c>
      <c r="B14" s="16">
        <f>SUMPRODUCT(('📋 Raw Data'!B$2:B$217=A14)*'📋 Raw Data'!H$2:H$217)</f>
        <v>744150.31</v>
      </c>
      <c r="C14" s="17">
        <f>SUMPRODUCT(('📋 Raw Data'!B$2:B$217=A14)*'📋 Raw Data'!J$2:J$217)</f>
        <v>326116.43959999998</v>
      </c>
      <c r="E14" s="15" t="s">
        <v>18</v>
      </c>
      <c r="F14" s="16">
        <f>SUMPRODUCT(('📋 Raw Data'!D$2:D$217=E14)*'📋 Raw Data'!H$2:H$217)</f>
        <v>699892.69</v>
      </c>
      <c r="G14" s="18">
        <f>SUMPRODUCT(('📋 Raw Data'!D$2:D$217=E14)*'📋 Raw Data'!F$2:F$217)</f>
        <v>1058</v>
      </c>
      <c r="I14" s="15" t="s">
        <v>19</v>
      </c>
      <c r="J14" s="16">
        <f>SUMPRODUCT(('📋 Raw Data'!C$2:C$217=I14)*'📋 Raw Data'!H$2:H$217)</f>
        <v>2372972.27</v>
      </c>
      <c r="K14" s="18">
        <f>COUNTIF('📋 Raw Data'!C$2:C$217,I14)</f>
        <v>46</v>
      </c>
    </row>
    <row r="15" spans="1:12">
      <c r="A15" s="11" t="s">
        <v>30</v>
      </c>
      <c r="B15" s="12">
        <f>SUMPRODUCT(('📋 Raw Data'!B$2:B$217=A15)*'📋 Raw Data'!H$2:H$217)</f>
        <v>988681.97000000009</v>
      </c>
      <c r="C15" s="13">
        <f>SUMPRODUCT(('📋 Raw Data'!B$2:B$217=A15)*'📋 Raw Data'!J$2:J$217)</f>
        <v>416647.19290000002</v>
      </c>
      <c r="E15" s="11" t="s">
        <v>22</v>
      </c>
      <c r="F15" s="12">
        <f>SUMPRODUCT(('📋 Raw Data'!D$2:D$217=E15)*'📋 Raw Data'!H$2:H$217)</f>
        <v>1290315.2599999995</v>
      </c>
      <c r="G15" s="14">
        <f>SUMPRODUCT(('📋 Raw Data'!D$2:D$217=E15)*'📋 Raw Data'!F$2:F$217)</f>
        <v>1049</v>
      </c>
      <c r="I15" s="11" t="s">
        <v>15</v>
      </c>
      <c r="J15" s="12">
        <f>SUMPRODUCT(('📋 Raw Data'!C$2:C$217=I15)*'📋 Raw Data'!H$2:H$217)</f>
        <v>2552727.64</v>
      </c>
      <c r="K15" s="14">
        <f>COUNTIF('📋 Raw Data'!C$2:C$217,I15)</f>
        <v>51</v>
      </c>
    </row>
    <row r="16" spans="1:12">
      <c r="A16" s="15" t="s">
        <v>31</v>
      </c>
      <c r="B16" s="16">
        <f>SUMPRODUCT(('📋 Raw Data'!B$2:B$217=A16)*'📋 Raw Data'!H$2:H$217)</f>
        <v>815440.57000000007</v>
      </c>
      <c r="C16" s="17">
        <f>SUMPRODUCT(('📋 Raw Data'!B$2:B$217=A16)*'📋 Raw Data'!J$2:J$217)</f>
        <v>358943.43449999997</v>
      </c>
    </row>
    <row r="17" spans="1:3">
      <c r="A17" s="11" t="s">
        <v>32</v>
      </c>
      <c r="B17" s="12">
        <f>SUMPRODUCT(('📋 Raw Data'!B$2:B$217=A17)*'📋 Raw Data'!H$2:H$217)</f>
        <v>731338.44000000006</v>
      </c>
      <c r="C17" s="13">
        <f>SUMPRODUCT(('📋 Raw Data'!B$2:B$217=A17)*'📋 Raw Data'!J$2:J$217)</f>
        <v>318055.15340000007</v>
      </c>
    </row>
    <row r="18" spans="1:3">
      <c r="A18" s="15" t="s">
        <v>33</v>
      </c>
      <c r="B18" s="16">
        <f>SUMPRODUCT(('📋 Raw Data'!B$2:B$217=A18)*'📋 Raw Data'!H$2:H$217)</f>
        <v>790221.39</v>
      </c>
      <c r="C18" s="17">
        <f>SUMPRODUCT(('📋 Raw Data'!B$2:B$217=A18)*'📋 Raw Data'!J$2:J$217)</f>
        <v>364579.71680000005</v>
      </c>
    </row>
    <row r="19" spans="1:3">
      <c r="A19" s="11" t="s">
        <v>34</v>
      </c>
      <c r="B19" s="12">
        <f>SUMPRODUCT(('📋 Raw Data'!B$2:B$217=A19)*'📋 Raw Data'!H$2:H$217)</f>
        <v>821661.43</v>
      </c>
      <c r="C19" s="13">
        <f>SUMPRODUCT(('📋 Raw Data'!B$2:B$217=A19)*'📋 Raw Data'!J$2:J$217)</f>
        <v>345696.05090000003</v>
      </c>
    </row>
    <row r="20" spans="1:3">
      <c r="A20" s="15" t="s">
        <v>35</v>
      </c>
      <c r="B20" s="16">
        <f>SUMPRODUCT(('📋 Raw Data'!B$2:B$217=A20)*'📋 Raw Data'!H$2:H$217)</f>
        <v>913664.59</v>
      </c>
      <c r="C20" s="17">
        <f>SUMPRODUCT(('📋 Raw Data'!B$2:B$217=A20)*'📋 Raw Data'!J$2:J$217)</f>
        <v>384383.43119999993</v>
      </c>
    </row>
    <row r="21" spans="1:3">
      <c r="A21" s="11" t="s">
        <v>36</v>
      </c>
      <c r="B21" s="12">
        <f>SUMPRODUCT(('📋 Raw Data'!B$2:B$217=A21)*'📋 Raw Data'!H$2:H$217)</f>
        <v>929140.1399999999</v>
      </c>
      <c r="C21" s="13">
        <f>SUMPRODUCT(('📋 Raw Data'!B$2:B$217=A21)*'📋 Raw Data'!J$2:J$217)</f>
        <v>408642.73590000003</v>
      </c>
    </row>
    <row r="22" spans="1:3">
      <c r="A22" s="15" t="s">
        <v>37</v>
      </c>
      <c r="B22" s="16">
        <f>SUMPRODUCT(('📋 Raw Data'!B$2:B$217=A22)*'📋 Raw Data'!H$2:H$217)</f>
        <v>868092.28</v>
      </c>
      <c r="C22" s="17">
        <f>SUMPRODUCT(('📋 Raw Data'!B$2:B$217=A22)*'📋 Raw Data'!J$2:J$217)</f>
        <v>367064.03620000009</v>
      </c>
    </row>
    <row r="23" spans="1:3" ht="25.5" customHeight="1">
      <c r="A23" s="29" t="s">
        <v>49</v>
      </c>
      <c r="B23" s="29"/>
      <c r="C23" s="29"/>
    </row>
    <row r="24" spans="1:3">
      <c r="A24" s="10" t="s">
        <v>4</v>
      </c>
      <c r="B24" s="10" t="s">
        <v>50</v>
      </c>
      <c r="C24" s="10" t="s">
        <v>51</v>
      </c>
    </row>
    <row r="25" spans="1:3">
      <c r="A25" s="11" t="s">
        <v>16</v>
      </c>
      <c r="B25" s="12">
        <f>SUMPRODUCT(('📋 Raw Data'!E$2:E$217=A25)*'📋 Raw Data'!H$2:H$217)</f>
        <v>2165301.6699999995</v>
      </c>
      <c r="C25" s="14">
        <f>COUNTIF('📋 Raw Data'!E$2:E$217,A25)</f>
        <v>43</v>
      </c>
    </row>
    <row r="26" spans="1:3">
      <c r="A26" s="15" t="s">
        <v>17</v>
      </c>
      <c r="B26" s="16">
        <f>SUMPRODUCT(('📋 Raw Data'!E$2:E$217=A26)*'📋 Raw Data'!H$2:H$217)</f>
        <v>2813342.0599999996</v>
      </c>
      <c r="C26" s="18">
        <f>COUNTIF('📋 Raw Data'!E$2:E$217,A26)</f>
        <v>48</v>
      </c>
    </row>
    <row r="27" spans="1:3">
      <c r="A27" s="11" t="s">
        <v>14</v>
      </c>
      <c r="B27" s="12">
        <f>SUMPRODUCT(('📋 Raw Data'!E$2:E$217=A27)*'📋 Raw Data'!H$2:H$217)</f>
        <v>2290290.75</v>
      </c>
      <c r="C27" s="14">
        <f>COUNTIF('📋 Raw Data'!E$2:E$217,A27)</f>
        <v>49</v>
      </c>
    </row>
    <row r="28" spans="1:3">
      <c r="A28" s="15" t="s">
        <v>23</v>
      </c>
      <c r="B28" s="16">
        <f>SUMPRODUCT(('📋 Raw Data'!E$2:E$217=A28)*'📋 Raw Data'!H$2:H$217)</f>
        <v>1612838.1</v>
      </c>
      <c r="C28" s="18">
        <f>COUNTIF('📋 Raw Data'!E$2:E$217,A28)</f>
        <v>36</v>
      </c>
    </row>
    <row r="29" spans="1:3">
      <c r="A29" s="11" t="s">
        <v>25</v>
      </c>
      <c r="B29" s="12">
        <f>SUMPRODUCT(('📋 Raw Data'!E$2:E$217=A29)*'📋 Raw Data'!H$2:H$217)</f>
        <v>1600569.2100000002</v>
      </c>
      <c r="C29" s="14">
        <f>COUNTIF('📋 Raw Data'!E$2:E$217,A29)</f>
        <v>40</v>
      </c>
    </row>
  </sheetData>
  <mergeCells count="18">
    <mergeCell ref="A1:L2"/>
    <mergeCell ref="A3:L3"/>
    <mergeCell ref="A5:C5"/>
    <mergeCell ref="D5:F5"/>
    <mergeCell ref="G5:I5"/>
    <mergeCell ref="J5:L5"/>
    <mergeCell ref="A9:C9"/>
    <mergeCell ref="E9:G9"/>
    <mergeCell ref="I9:K9"/>
    <mergeCell ref="A23:C23"/>
    <mergeCell ref="A6:C6"/>
    <mergeCell ref="D6:F6"/>
    <mergeCell ref="G6:I6"/>
    <mergeCell ref="J6:L6"/>
    <mergeCell ref="A7:C7"/>
    <mergeCell ref="D7:F7"/>
    <mergeCell ref="G7:I7"/>
    <mergeCell ref="J7:L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rightToLeft="1" zoomScaleNormal="100" workbookViewId="0">
      <selection sqref="A1:N2"/>
    </sheetView>
  </sheetViews>
  <sheetFormatPr defaultColWidth="8.7109375" defaultRowHeight="15"/>
  <cols>
    <col min="1" max="14" width="16" customWidth="1"/>
  </cols>
  <sheetData>
    <row r="1" spans="1:14" ht="39.75" customHeight="1">
      <c r="A1" s="44" t="s">
        <v>52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4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4" spans="1:14">
      <c r="A4" s="19" t="s">
        <v>53</v>
      </c>
    </row>
    <row r="5" spans="1:14">
      <c r="A5" s="20" t="s">
        <v>1</v>
      </c>
      <c r="B5" s="20" t="s">
        <v>54</v>
      </c>
      <c r="C5" s="20" t="s">
        <v>55</v>
      </c>
    </row>
    <row r="6" spans="1:14">
      <c r="A6" s="21" t="s">
        <v>11</v>
      </c>
      <c r="B6" s="22">
        <f>SUMPRODUCT(('📋 Raw Data'!B$2:B$217=A6)*'📋 Raw Data'!H$2:H$217)</f>
        <v>1113303.8699999999</v>
      </c>
      <c r="C6" s="22">
        <f>SUMPRODUCT(('📋 Raw Data'!B$2:B$217=A6)*'📋 Raw Data'!J$2:J$217)</f>
        <v>446747.07409999997</v>
      </c>
    </row>
    <row r="7" spans="1:14">
      <c r="A7" s="21" t="s">
        <v>27</v>
      </c>
      <c r="B7" s="22">
        <f>SUMPRODUCT(('📋 Raw Data'!B$2:B$217=A7)*'📋 Raw Data'!H$2:H$217)</f>
        <v>824441.54999999993</v>
      </c>
      <c r="C7" s="22">
        <f>SUMPRODUCT(('📋 Raw Data'!B$2:B$217=A7)*'📋 Raw Data'!J$2:J$217)</f>
        <v>360621.26360000001</v>
      </c>
    </row>
    <row r="8" spans="1:14">
      <c r="A8" s="21" t="s">
        <v>28</v>
      </c>
      <c r="B8" s="22">
        <f>SUMPRODUCT(('📋 Raw Data'!B$2:B$217=A8)*'📋 Raw Data'!H$2:H$217)</f>
        <v>942205.25</v>
      </c>
      <c r="C8" s="22">
        <f>SUMPRODUCT(('📋 Raw Data'!B$2:B$217=A8)*'📋 Raw Data'!J$2:J$217)</f>
        <v>385904.51630000002</v>
      </c>
    </row>
    <row r="9" spans="1:14">
      <c r="A9" s="21" t="s">
        <v>29</v>
      </c>
      <c r="B9" s="22">
        <f>SUMPRODUCT(('📋 Raw Data'!B$2:B$217=A9)*'📋 Raw Data'!H$2:H$217)</f>
        <v>744150.31</v>
      </c>
      <c r="C9" s="22">
        <f>SUMPRODUCT(('📋 Raw Data'!B$2:B$217=A9)*'📋 Raw Data'!J$2:J$217)</f>
        <v>326116.43959999998</v>
      </c>
    </row>
    <row r="10" spans="1:14">
      <c r="A10" s="21" t="s">
        <v>30</v>
      </c>
      <c r="B10" s="22">
        <f>SUMPRODUCT(('📋 Raw Data'!B$2:B$217=A10)*'📋 Raw Data'!H$2:H$217)</f>
        <v>988681.97000000009</v>
      </c>
      <c r="C10" s="22">
        <f>SUMPRODUCT(('📋 Raw Data'!B$2:B$217=A10)*'📋 Raw Data'!J$2:J$217)</f>
        <v>416647.19290000002</v>
      </c>
    </row>
    <row r="11" spans="1:14">
      <c r="A11" s="21" t="s">
        <v>31</v>
      </c>
      <c r="B11" s="22">
        <f>SUMPRODUCT(('📋 Raw Data'!B$2:B$217=A11)*'📋 Raw Data'!H$2:H$217)</f>
        <v>815440.57000000007</v>
      </c>
      <c r="C11" s="22">
        <f>SUMPRODUCT(('📋 Raw Data'!B$2:B$217=A11)*'📋 Raw Data'!J$2:J$217)</f>
        <v>358943.43449999997</v>
      </c>
    </row>
    <row r="12" spans="1:14">
      <c r="A12" s="21" t="s">
        <v>32</v>
      </c>
      <c r="B12" s="22">
        <f>SUMPRODUCT(('📋 Raw Data'!B$2:B$217=A12)*'📋 Raw Data'!H$2:H$217)</f>
        <v>731338.44000000006</v>
      </c>
      <c r="C12" s="22">
        <f>SUMPRODUCT(('📋 Raw Data'!B$2:B$217=A12)*'📋 Raw Data'!J$2:J$217)</f>
        <v>318055.15340000007</v>
      </c>
    </row>
    <row r="13" spans="1:14">
      <c r="A13" s="21" t="s">
        <v>33</v>
      </c>
      <c r="B13" s="22">
        <f>SUMPRODUCT(('📋 Raw Data'!B$2:B$217=A13)*'📋 Raw Data'!H$2:H$217)</f>
        <v>790221.39</v>
      </c>
      <c r="C13" s="22">
        <f>SUMPRODUCT(('📋 Raw Data'!B$2:B$217=A13)*'📋 Raw Data'!J$2:J$217)</f>
        <v>364579.71680000005</v>
      </c>
    </row>
    <row r="14" spans="1:14">
      <c r="A14" s="21" t="s">
        <v>34</v>
      </c>
      <c r="B14" s="22">
        <f>SUMPRODUCT(('📋 Raw Data'!B$2:B$217=A14)*'📋 Raw Data'!H$2:H$217)</f>
        <v>821661.43</v>
      </c>
      <c r="C14" s="22">
        <f>SUMPRODUCT(('📋 Raw Data'!B$2:B$217=A14)*'📋 Raw Data'!J$2:J$217)</f>
        <v>345696.05090000003</v>
      </c>
    </row>
    <row r="15" spans="1:14">
      <c r="A15" s="21" t="s">
        <v>35</v>
      </c>
      <c r="B15" s="22">
        <f>SUMPRODUCT(('📋 Raw Data'!B$2:B$217=A15)*'📋 Raw Data'!H$2:H$217)</f>
        <v>913664.59</v>
      </c>
      <c r="C15" s="22">
        <f>SUMPRODUCT(('📋 Raw Data'!B$2:B$217=A15)*'📋 Raw Data'!J$2:J$217)</f>
        <v>384383.43119999993</v>
      </c>
    </row>
    <row r="16" spans="1:14">
      <c r="A16" s="21" t="s">
        <v>36</v>
      </c>
      <c r="B16" s="22">
        <f>SUMPRODUCT(('📋 Raw Data'!B$2:B$217=A16)*'📋 Raw Data'!H$2:H$217)</f>
        <v>929140.1399999999</v>
      </c>
      <c r="C16" s="22">
        <f>SUMPRODUCT(('📋 Raw Data'!B$2:B$217=A16)*'📋 Raw Data'!J$2:J$217)</f>
        <v>408642.73590000003</v>
      </c>
    </row>
    <row r="17" spans="1:3">
      <c r="A17" s="21" t="s">
        <v>37</v>
      </c>
      <c r="B17" s="22">
        <f>SUMPRODUCT(('📋 Raw Data'!B$2:B$217=A17)*'📋 Raw Data'!H$2:H$217)</f>
        <v>868092.28</v>
      </c>
      <c r="C17" s="22">
        <f>SUMPRODUCT(('📋 Raw Data'!B$2:B$217=A17)*'📋 Raw Data'!J$2:J$217)</f>
        <v>367064.03620000009</v>
      </c>
    </row>
    <row r="20" spans="1:3">
      <c r="A20" s="19" t="s">
        <v>56</v>
      </c>
    </row>
    <row r="21" spans="1:3">
      <c r="A21" s="23" t="s">
        <v>3</v>
      </c>
      <c r="B21" s="23" t="s">
        <v>54</v>
      </c>
      <c r="C21" s="23" t="s">
        <v>5</v>
      </c>
    </row>
    <row r="22" spans="1:3">
      <c r="A22" s="21" t="s">
        <v>13</v>
      </c>
      <c r="B22" s="22">
        <f>SUMPRODUCT(('📋 Raw Data'!D$2:D$217=A22)*'📋 Raw Data'!H$2:H$217)</f>
        <v>4212699.1300000008</v>
      </c>
      <c r="C22" s="24">
        <f>SUMPRODUCT(('📋 Raw Data'!D$2:D$217=A22)*'📋 Raw Data'!F$2:F$217)</f>
        <v>914</v>
      </c>
    </row>
    <row r="23" spans="1:3">
      <c r="A23" s="21" t="s">
        <v>20</v>
      </c>
      <c r="B23" s="22">
        <f>SUMPRODUCT(('📋 Raw Data'!D$2:D$217=A23)*'📋 Raw Data'!H$2:H$217)</f>
        <v>2442295.1</v>
      </c>
      <c r="C23" s="24">
        <f>SUMPRODUCT(('📋 Raw Data'!D$2:D$217=A23)*'📋 Raw Data'!F$2:F$217)</f>
        <v>872</v>
      </c>
    </row>
    <row r="24" spans="1:3">
      <c r="A24" s="21" t="s">
        <v>21</v>
      </c>
      <c r="B24" s="22">
        <f>SUMPRODUCT(('📋 Raw Data'!D$2:D$217=A24)*'📋 Raw Data'!H$2:H$217)</f>
        <v>1837139.6099999994</v>
      </c>
      <c r="C24" s="24">
        <f>SUMPRODUCT(('📋 Raw Data'!D$2:D$217=A24)*'📋 Raw Data'!F$2:F$217)</f>
        <v>952</v>
      </c>
    </row>
    <row r="25" spans="1:3">
      <c r="A25" s="21" t="s">
        <v>18</v>
      </c>
      <c r="B25" s="22">
        <f>SUMPRODUCT(('📋 Raw Data'!D$2:D$217=A25)*'📋 Raw Data'!H$2:H$217)</f>
        <v>699892.69</v>
      </c>
      <c r="C25" s="24">
        <f>SUMPRODUCT(('📋 Raw Data'!D$2:D$217=A25)*'📋 Raw Data'!F$2:F$217)</f>
        <v>1058</v>
      </c>
    </row>
    <row r="26" spans="1:3">
      <c r="A26" s="21" t="s">
        <v>22</v>
      </c>
      <c r="B26" s="22">
        <f>SUMPRODUCT(('📋 Raw Data'!D$2:D$217=A26)*'📋 Raw Data'!H$2:H$217)</f>
        <v>1290315.2599999995</v>
      </c>
      <c r="C26" s="24">
        <f>SUMPRODUCT(('📋 Raw Data'!D$2:D$217=A26)*'📋 Raw Data'!F$2:F$217)</f>
        <v>1049</v>
      </c>
    </row>
    <row r="30" spans="1:3">
      <c r="A30" s="19" t="s">
        <v>57</v>
      </c>
    </row>
    <row r="31" spans="1:3">
      <c r="A31" s="25" t="s">
        <v>2</v>
      </c>
      <c r="B31" s="25" t="s">
        <v>54</v>
      </c>
    </row>
    <row r="32" spans="1:3">
      <c r="A32" s="21" t="s">
        <v>12</v>
      </c>
      <c r="B32" s="22">
        <f>SUMPRODUCT(('📋 Raw Data'!C$2:C$217=A32)*'📋 Raw Data'!H$2:H$217)</f>
        <v>1668953.31</v>
      </c>
    </row>
    <row r="33" spans="1:2">
      <c r="A33" s="21" t="s">
        <v>26</v>
      </c>
      <c r="B33" s="22">
        <f>SUMPRODUCT(('📋 Raw Data'!C$2:C$217=A33)*'📋 Raw Data'!H$2:H$217)</f>
        <v>1903985.09</v>
      </c>
    </row>
    <row r="34" spans="1:2">
      <c r="A34" s="21" t="s">
        <v>24</v>
      </c>
      <c r="B34" s="22">
        <f>SUMPRODUCT(('📋 Raw Data'!C$2:C$217=A34)*'📋 Raw Data'!H$2:H$217)</f>
        <v>1983703.4799999997</v>
      </c>
    </row>
    <row r="35" spans="1:2">
      <c r="A35" s="21" t="s">
        <v>19</v>
      </c>
      <c r="B35" s="22">
        <f>SUMPRODUCT(('📋 Raw Data'!C$2:C$217=A35)*'📋 Raw Data'!H$2:H$217)</f>
        <v>2372972.27</v>
      </c>
    </row>
    <row r="36" spans="1:2">
      <c r="A36" s="21" t="s">
        <v>15</v>
      </c>
      <c r="B36" s="22">
        <f>SUMPRODUCT(('📋 Raw Data'!C$2:C$217=A36)*'📋 Raw Data'!H$2:H$217)</f>
        <v>2552727.64</v>
      </c>
    </row>
  </sheetData>
  <mergeCells count="1">
    <mergeCell ref="A1:N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📋 Raw Data</vt:lpstr>
      <vt:lpstr>📊 Dashboard</vt:lpstr>
      <vt:lpstr>📈 الرسوم البيانية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2026-05-15T07:21:56Z</dcterms:created>
  <dcterms:modified xsi:type="dcterms:W3CDTF">2026-05-17T18:37:00Z</dcterms:modified>
  <dc:language>en-US</dc:language>
</cp:coreProperties>
</file>